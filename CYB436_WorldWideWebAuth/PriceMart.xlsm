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195" windowHeight="8445"/>
  </bookViews>
  <sheets>
    <sheet name="PriceMart" sheetId="1" r:id="rId1"/>
  </sheets>
  <calcPr calcId="144525"/>
</workbook>
</file>

<file path=xl/calcChain.xml><?xml version="1.0" encoding="utf-8"?>
<calcChain xmlns="http://schemas.openxmlformats.org/spreadsheetml/2006/main">
  <c r="M27" i="1" l="1"/>
  <c r="M26" i="1"/>
  <c r="M28" i="1" l="1"/>
  <c r="M13" i="1"/>
  <c r="M12" i="1"/>
  <c r="M14" i="1" l="1"/>
  <c r="C17" i="1"/>
  <c r="C16" i="1"/>
  <c r="C20" i="1" s="1"/>
  <c r="C15" i="1"/>
  <c r="C21" i="1" l="1"/>
  <c r="C23" i="1" s="1"/>
</calcChain>
</file>

<file path=xl/sharedStrings.xml><?xml version="1.0" encoding="utf-8"?>
<sst xmlns="http://schemas.openxmlformats.org/spreadsheetml/2006/main" count="72" uniqueCount="45">
  <si>
    <t>Item List</t>
  </si>
  <si>
    <t>Name</t>
  </si>
  <si>
    <t>Cost</t>
  </si>
  <si>
    <t>Taxable</t>
  </si>
  <si>
    <t>Code</t>
  </si>
  <si>
    <t>Grapes</t>
  </si>
  <si>
    <t>Apples</t>
  </si>
  <si>
    <t>Paper Towels</t>
  </si>
  <si>
    <t>Toilet Paper</t>
  </si>
  <si>
    <t>32" LCD TV</t>
  </si>
  <si>
    <t>300w Stereo System</t>
  </si>
  <si>
    <t>Pencils</t>
  </si>
  <si>
    <t>Staples</t>
  </si>
  <si>
    <t>Hangers</t>
  </si>
  <si>
    <t>Bread</t>
  </si>
  <si>
    <t>Laundry Detergent</t>
  </si>
  <si>
    <t>Light Bulb</t>
  </si>
  <si>
    <t>XBOX 360 Console</t>
  </si>
  <si>
    <t>Jack's Frozen Pizza</t>
  </si>
  <si>
    <t>Eggs</t>
  </si>
  <si>
    <t>Milk</t>
  </si>
  <si>
    <t>Sandals</t>
  </si>
  <si>
    <t>Garbage Bags</t>
  </si>
  <si>
    <t>*</t>
  </si>
  <si>
    <t>Insert Code</t>
  </si>
  <si>
    <t>Insert Quantity</t>
  </si>
  <si>
    <t>Item Name</t>
  </si>
  <si>
    <t>Price Per Item</t>
  </si>
  <si>
    <t>Item Subtotal</t>
  </si>
  <si>
    <t>Tax Subtotal</t>
  </si>
  <si>
    <t>Item Total</t>
  </si>
  <si>
    <t>Price Mart Virtual Register</t>
  </si>
  <si>
    <t>Price Mart Receipt</t>
  </si>
  <si>
    <t>Item</t>
  </si>
  <si>
    <t>Qty</t>
  </si>
  <si>
    <t>Tax</t>
  </si>
  <si>
    <t>Subtotal</t>
  </si>
  <si>
    <t>Item Tot</t>
  </si>
  <si>
    <t>Customer One</t>
  </si>
  <si>
    <t>Tax Total</t>
  </si>
  <si>
    <t>Final Total</t>
  </si>
  <si>
    <t>Price Mart SuperStore</t>
  </si>
  <si>
    <t>525 Minnesota Ave</t>
  </si>
  <si>
    <t>St. Cloud, MN 56301</t>
  </si>
  <si>
    <t>Customer Two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</si>
</sst>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opperplate Gothic Bold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Copperplate Gothic Bold"/>
      <family val="2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</fills>
  <borders count="28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4" fontId="0" fillId="0" borderId="0" xfId="0" applyNumberFormat="1" applyBorder="1"/>
    <xf numFmtId="0" fontId="0" fillId="0" borderId="3" xfId="0" applyBorder="1"/>
    <xf numFmtId="0" fontId="0" fillId="0" borderId="4" xfId="0" applyBorder="1"/>
    <xf numFmtId="4" fontId="0" fillId="0" borderId="4" xfId="0" applyNumberFormat="1" applyBorder="1"/>
    <xf numFmtId="0" fontId="0" fillId="0" borderId="5" xfId="0" applyBorder="1"/>
    <xf numFmtId="0" fontId="0" fillId="0" borderId="0" xfId="0" applyBorder="1" applyAlignment="1">
      <alignment horizontal="right"/>
    </xf>
    <xf numFmtId="0" fontId="3" fillId="2" borderId="10" xfId="0" applyFont="1" applyFill="1" applyBorder="1"/>
    <xf numFmtId="0" fontId="3" fillId="3" borderId="6" xfId="0" applyFont="1" applyFill="1" applyBorder="1"/>
    <xf numFmtId="0" fontId="1" fillId="0" borderId="14" xfId="0" applyFont="1" applyBorder="1" applyAlignment="1">
      <alignment horizontal="center"/>
    </xf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7" fillId="0" borderId="9" xfId="0" applyFont="1" applyBorder="1" applyProtection="1">
      <protection locked="0"/>
    </xf>
    <xf numFmtId="0" fontId="7" fillId="0" borderId="11" xfId="0" applyFont="1" applyBorder="1" applyProtection="1"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8" xfId="0" applyBorder="1" applyProtection="1">
      <protection locked="0"/>
    </xf>
    <xf numFmtId="0" fontId="0" fillId="0" borderId="18" xfId="0" applyBorder="1" applyAlignment="1" applyProtection="1">
      <alignment horizontal="center"/>
      <protection locked="0"/>
    </xf>
    <xf numFmtId="4" fontId="0" fillId="0" borderId="18" xfId="0" applyNumberFormat="1" applyBorder="1" applyProtection="1">
      <protection locked="0"/>
    </xf>
    <xf numFmtId="4" fontId="0" fillId="0" borderId="19" xfId="0" applyNumberFormat="1" applyBorder="1" applyProtection="1"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4" fontId="0" fillId="0" borderId="0" xfId="0" applyNumberFormat="1" applyBorder="1" applyProtection="1">
      <protection locked="0"/>
    </xf>
    <xf numFmtId="4" fontId="0" fillId="0" borderId="21" xfId="0" applyNumberFormat="1" applyBorder="1" applyProtection="1">
      <protection locked="0"/>
    </xf>
    <xf numFmtId="164" fontId="0" fillId="0" borderId="21" xfId="0" applyNumberFormat="1" applyBorder="1" applyProtection="1">
      <protection locked="0"/>
    </xf>
    <xf numFmtId="164" fontId="1" fillId="0" borderId="24" xfId="0" applyNumberFormat="1" applyFont="1" applyBorder="1" applyProtection="1">
      <protection locked="0"/>
    </xf>
    <xf numFmtId="0" fontId="0" fillId="0" borderId="0" xfId="0" applyBorder="1" applyAlignment="1" applyProtection="1">
      <alignment horizontal="right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6" fillId="0" borderId="22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20</xdr:row>
      <xdr:rowOff>123825</xdr:rowOff>
    </xdr:from>
    <xdr:to>
      <xdr:col>4</xdr:col>
      <xdr:colOff>742950</xdr:colOff>
      <xdr:row>22</xdr:row>
      <xdr:rowOff>123825</xdr:rowOff>
    </xdr:to>
    <xdr:sp macro="[0]!_xludf.Clear" textlink="">
      <xdr:nvSpPr>
        <xdr:cNvPr id="2" name="Rounded Rectangle 1"/>
        <xdr:cNvSpPr/>
      </xdr:nvSpPr>
      <xdr:spPr>
        <a:xfrm>
          <a:off x="3790950" y="4286250"/>
          <a:ext cx="9048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Form</a:t>
          </a:r>
        </a:p>
      </xdr:txBody>
    </xdr:sp>
    <xdr:clientData fLocksWithSheet="0"/>
  </xdr:twoCellAnchor>
  <xdr:twoCellAnchor>
    <xdr:from>
      <xdr:col>3</xdr:col>
      <xdr:colOff>457200</xdr:colOff>
      <xdr:row>10</xdr:row>
      <xdr:rowOff>133350</xdr:rowOff>
    </xdr:from>
    <xdr:to>
      <xdr:col>4</xdr:col>
      <xdr:colOff>752475</xdr:colOff>
      <xdr:row>12</xdr:row>
      <xdr:rowOff>28575</xdr:rowOff>
    </xdr:to>
    <xdr:sp macro="[0]!Submit_ROne" textlink="">
      <xdr:nvSpPr>
        <xdr:cNvPr id="3" name="Rounded Rectangle 2"/>
        <xdr:cNvSpPr/>
      </xdr:nvSpPr>
      <xdr:spPr>
        <a:xfrm>
          <a:off x="3800475" y="2200275"/>
          <a:ext cx="9048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sz="800"/>
            <a:t>Add to Receipt 1</a:t>
          </a:r>
        </a:p>
        <a:p>
          <a:pPr lvl="0" algn="ctr"/>
          <a:endParaRPr lang="en-US" sz="1050"/>
        </a:p>
      </xdr:txBody>
    </xdr:sp>
    <xdr:clientData fLocksWithSheet="0"/>
  </xdr:twoCellAnchor>
  <xdr:twoCellAnchor>
    <xdr:from>
      <xdr:col>3</xdr:col>
      <xdr:colOff>457200</xdr:colOff>
      <xdr:row>12</xdr:row>
      <xdr:rowOff>171450</xdr:rowOff>
    </xdr:from>
    <xdr:to>
      <xdr:col>4</xdr:col>
      <xdr:colOff>752475</xdr:colOff>
      <xdr:row>14</xdr:row>
      <xdr:rowOff>76200</xdr:rowOff>
    </xdr:to>
    <xdr:sp macro="[0]!Submit_RTwo" textlink="">
      <xdr:nvSpPr>
        <xdr:cNvPr id="4" name="Rounded Rectangle 3"/>
        <xdr:cNvSpPr/>
      </xdr:nvSpPr>
      <xdr:spPr>
        <a:xfrm>
          <a:off x="3800475" y="2705100"/>
          <a:ext cx="9048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Add to Receipt 2</a:t>
          </a:r>
        </a:p>
      </xdr:txBody>
    </xdr:sp>
    <xdr:clientData fLocksWithSheet="0"/>
  </xdr:twoCellAnchor>
  <xdr:twoCellAnchor>
    <xdr:from>
      <xdr:col>3</xdr:col>
      <xdr:colOff>466725</xdr:colOff>
      <xdr:row>15</xdr:row>
      <xdr:rowOff>38100</xdr:rowOff>
    </xdr:from>
    <xdr:to>
      <xdr:col>4</xdr:col>
      <xdr:colOff>762000</xdr:colOff>
      <xdr:row>17</xdr:row>
      <xdr:rowOff>38100</xdr:rowOff>
    </xdr:to>
    <xdr:sp macro="[0]!Clear_ROne" textlink="">
      <xdr:nvSpPr>
        <xdr:cNvPr id="5" name="Rounded Rectangle 4"/>
        <xdr:cNvSpPr/>
      </xdr:nvSpPr>
      <xdr:spPr>
        <a:xfrm>
          <a:off x="3810000" y="3219450"/>
          <a:ext cx="904875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/>
            <a:t>Clear Receipt</a:t>
          </a:r>
          <a:r>
            <a:rPr lang="en-US" sz="800" b="1" baseline="0"/>
            <a:t> 1</a:t>
          </a:r>
          <a:endParaRPr lang="en-US" sz="800" b="1"/>
        </a:p>
      </xdr:txBody>
    </xdr:sp>
    <xdr:clientData fLocksWithSheet="0"/>
  </xdr:twoCellAnchor>
  <xdr:twoCellAnchor>
    <xdr:from>
      <xdr:col>3</xdr:col>
      <xdr:colOff>457200</xdr:colOff>
      <xdr:row>18</xdr:row>
      <xdr:rowOff>0</xdr:rowOff>
    </xdr:from>
    <xdr:to>
      <xdr:col>4</xdr:col>
      <xdr:colOff>752475</xdr:colOff>
      <xdr:row>20</xdr:row>
      <xdr:rowOff>0</xdr:rowOff>
    </xdr:to>
    <xdr:sp macro="[0]!Clear_RTwo" textlink="">
      <xdr:nvSpPr>
        <xdr:cNvPr id="6" name="Rounded Rectangle 5"/>
        <xdr:cNvSpPr/>
      </xdr:nvSpPr>
      <xdr:spPr>
        <a:xfrm>
          <a:off x="3800475" y="3752850"/>
          <a:ext cx="90487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/>
            <a:t>Clear Receipt</a:t>
          </a:r>
          <a:r>
            <a:rPr lang="en-US" sz="800" b="1" baseline="0"/>
            <a:t> 2</a:t>
          </a:r>
          <a:endParaRPr lang="en-US" sz="800" b="1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3:M53"/>
  <sheetViews>
    <sheetView tabSelected="1" zoomScale="90" zoomScaleNormal="90" workbookViewId="0">
      <selection activeCell="C12" sqref="C12"/>
    </sheetView>
  </sheetViews>
  <sheetFormatPr defaultRowHeight="15" x14ac:dyDescent="0.25"/>
  <cols>
    <col min="1" max="1" width="10.7109375" customWidth="1"/>
    <col min="2" max="2" width="20.42578125" customWidth="1"/>
    <col min="3" max="3" width="19" bestFit="1" customWidth="1"/>
    <col min="5" max="5" width="12.5703125" customWidth="1"/>
    <col min="9" max="9" width="17.42578125" bestFit="1" customWidth="1"/>
    <col min="10" max="10" width="4.85546875" customWidth="1"/>
    <col min="13" max="13" width="9.85546875" bestFit="1" customWidth="1"/>
  </cols>
  <sheetData>
    <row r="3" spans="1:13" ht="15.75" thickBot="1" x14ac:dyDescent="0.3"/>
    <row r="4" spans="1:13" ht="16.5" thickTop="1" thickBot="1" x14ac:dyDescent="0.3">
      <c r="H4" s="43" t="s">
        <v>32</v>
      </c>
      <c r="I4" s="44"/>
      <c r="J4" s="44"/>
      <c r="K4" s="44"/>
      <c r="L4" s="44"/>
      <c r="M4" s="45"/>
    </row>
    <row r="5" spans="1:13" ht="15.75" thickTop="1" x14ac:dyDescent="0.25">
      <c r="H5" s="46" t="s">
        <v>38</v>
      </c>
      <c r="I5" s="47"/>
      <c r="J5" s="47"/>
      <c r="K5" s="47"/>
      <c r="L5" s="47"/>
      <c r="M5" s="48"/>
    </row>
    <row r="6" spans="1:13" x14ac:dyDescent="0.25">
      <c r="H6" s="15" t="s">
        <v>4</v>
      </c>
      <c r="I6" s="15" t="s">
        <v>33</v>
      </c>
      <c r="J6" s="15" t="s">
        <v>34</v>
      </c>
      <c r="K6" s="15" t="s">
        <v>36</v>
      </c>
      <c r="L6" s="15" t="s">
        <v>35</v>
      </c>
      <c r="M6" s="15" t="s">
        <v>37</v>
      </c>
    </row>
    <row r="7" spans="1:13" x14ac:dyDescent="0.25">
      <c r="H7" s="22"/>
      <c r="I7" s="23"/>
      <c r="J7" s="24"/>
      <c r="K7" s="23"/>
      <c r="L7" s="25"/>
      <c r="M7" s="26"/>
    </row>
    <row r="8" spans="1:13" x14ac:dyDescent="0.25">
      <c r="H8" s="27"/>
      <c r="I8" s="28"/>
      <c r="J8" s="29"/>
      <c r="K8" s="28"/>
      <c r="L8" s="30"/>
      <c r="M8" s="31"/>
    </row>
    <row r="9" spans="1:13" ht="15.75" thickBot="1" x14ac:dyDescent="0.3">
      <c r="H9" s="27"/>
      <c r="I9" s="28"/>
      <c r="J9" s="29"/>
      <c r="K9" s="28"/>
      <c r="L9" s="30"/>
      <c r="M9" s="31"/>
    </row>
    <row r="10" spans="1:13" ht="24" thickTop="1" thickBot="1" x14ac:dyDescent="0.3">
      <c r="A10" s="40" t="s">
        <v>31</v>
      </c>
      <c r="B10" s="41"/>
      <c r="C10" s="41"/>
      <c r="D10" s="41"/>
      <c r="E10" s="42"/>
      <c r="H10" s="27"/>
      <c r="I10" s="28"/>
      <c r="J10" s="29"/>
      <c r="K10" s="28"/>
      <c r="L10" s="30"/>
      <c r="M10" s="31"/>
    </row>
    <row r="11" spans="1:13" ht="16.5" thickTop="1" thickBot="1" x14ac:dyDescent="0.3">
      <c r="A11" s="4"/>
      <c r="B11" s="5"/>
      <c r="C11" s="5"/>
      <c r="D11" s="5"/>
      <c r="E11" s="6"/>
      <c r="H11" s="17"/>
      <c r="I11" s="18"/>
      <c r="J11" s="18"/>
      <c r="K11" s="18"/>
      <c r="L11" s="18"/>
      <c r="M11" s="19"/>
    </row>
    <row r="12" spans="1:13" ht="20.25" thickTop="1" thickBot="1" x14ac:dyDescent="0.35">
      <c r="A12" s="4"/>
      <c r="B12" s="13" t="s">
        <v>24</v>
      </c>
      <c r="C12" s="20"/>
      <c r="E12" s="6"/>
      <c r="H12" s="49" t="s">
        <v>41</v>
      </c>
      <c r="I12" s="50"/>
      <c r="J12" s="5"/>
      <c r="K12" s="35" t="s">
        <v>28</v>
      </c>
      <c r="L12" s="36"/>
      <c r="M12" s="32">
        <f>SUM(K7:K10)</f>
        <v>0</v>
      </c>
    </row>
    <row r="13" spans="1:13" ht="20.25" thickTop="1" thickBot="1" x14ac:dyDescent="0.35">
      <c r="A13" s="4"/>
      <c r="B13" s="14" t="s">
        <v>25</v>
      </c>
      <c r="C13" s="21"/>
      <c r="E13" s="6"/>
      <c r="H13" s="49" t="s">
        <v>42</v>
      </c>
      <c r="I13" s="50"/>
      <c r="J13" s="5"/>
      <c r="K13" s="35" t="s">
        <v>39</v>
      </c>
      <c r="L13" s="36"/>
      <c r="M13" s="32">
        <f>SUM(L7:L10)</f>
        <v>0</v>
      </c>
    </row>
    <row r="14" spans="1:13" ht="15.75" thickTop="1" x14ac:dyDescent="0.25">
      <c r="A14" s="4"/>
      <c r="B14" s="5"/>
      <c r="C14" s="5"/>
      <c r="D14" s="5"/>
      <c r="E14" s="6"/>
      <c r="H14" s="37" t="s">
        <v>43</v>
      </c>
      <c r="I14" s="38"/>
      <c r="J14" s="16"/>
      <c r="K14" s="35" t="s">
        <v>40</v>
      </c>
      <c r="L14" s="36"/>
      <c r="M14" s="33">
        <f>SUM(M12:M13)</f>
        <v>0</v>
      </c>
    </row>
    <row r="15" spans="1:13" x14ac:dyDescent="0.25">
      <c r="A15" s="4"/>
      <c r="B15" s="5" t="s">
        <v>26</v>
      </c>
      <c r="C15" s="34" t="str">
        <f>IF(ISNA(VLOOKUP($C$12,$B$36:$E$53,2,FALSE)), " ", VLOOKUP($C$12, $B$36:$E$53, 2, FALSE))</f>
        <v xml:space="preserve"> </v>
      </c>
      <c r="D15" s="5"/>
      <c r="E15" s="6"/>
    </row>
    <row r="16" spans="1:13" x14ac:dyDescent="0.25">
      <c r="A16" s="4"/>
      <c r="B16" s="5" t="s">
        <v>27</v>
      </c>
      <c r="C16" s="5" t="str">
        <f>IF(ISNA(VLOOKUP($C$12,$B$36:$E$53,3,FALSE)), " ", VLOOKUP($C$12, $B$36:$E$53, 3, FALSE))</f>
        <v xml:space="preserve"> </v>
      </c>
      <c r="D16" s="5"/>
      <c r="E16" s="6"/>
    </row>
    <row r="17" spans="1:13" x14ac:dyDescent="0.25">
      <c r="A17" s="4"/>
      <c r="B17" s="5" t="s">
        <v>3</v>
      </c>
      <c r="C17" s="12" t="str">
        <f>IF(ISNA(IF(VLOOKUP($C$12,$B$36:$E$53,4,TRUE)="*","Y","N")), " ", IF(VLOOKUP($C$12,$B$36:$E$53,4,TRUE)="*","Y","N"))</f>
        <v xml:space="preserve"> </v>
      </c>
      <c r="D17" s="5"/>
      <c r="E17" s="6"/>
    </row>
    <row r="18" spans="1:13" x14ac:dyDescent="0.25">
      <c r="A18" s="4"/>
      <c r="B18" s="5"/>
      <c r="C18" s="5"/>
      <c r="D18" s="5"/>
      <c r="E18" s="6"/>
    </row>
    <row r="19" spans="1:13" ht="15.75" thickBot="1" x14ac:dyDescent="0.3">
      <c r="A19" s="4"/>
      <c r="B19" s="5"/>
      <c r="C19" s="5"/>
      <c r="D19" s="5"/>
      <c r="E19" s="6"/>
    </row>
    <row r="20" spans="1:13" ht="16.5" thickTop="1" thickBot="1" x14ac:dyDescent="0.3">
      <c r="A20" s="4"/>
      <c r="B20" s="5" t="s">
        <v>28</v>
      </c>
      <c r="C20" s="5" t="str">
        <f>IFERROR($C$16*$C$13, " ")</f>
        <v xml:space="preserve"> </v>
      </c>
      <c r="D20" s="5"/>
      <c r="E20" s="6"/>
      <c r="H20" s="43" t="s">
        <v>32</v>
      </c>
      <c r="I20" s="44"/>
      <c r="J20" s="44"/>
      <c r="K20" s="44"/>
      <c r="L20" s="44"/>
      <c r="M20" s="45"/>
    </row>
    <row r="21" spans="1:13" ht="15.75" thickTop="1" x14ac:dyDescent="0.25">
      <c r="A21" s="4"/>
      <c r="B21" s="5" t="s">
        <v>29</v>
      </c>
      <c r="C21" s="7">
        <f>IFERROR(IF($C$17="Y", $C$20*0.065,0), " ")</f>
        <v>0</v>
      </c>
      <c r="D21" s="5"/>
      <c r="E21" s="6"/>
      <c r="H21" s="46" t="s">
        <v>44</v>
      </c>
      <c r="I21" s="47"/>
      <c r="J21" s="47"/>
      <c r="K21" s="47"/>
      <c r="L21" s="47"/>
      <c r="M21" s="48"/>
    </row>
    <row r="22" spans="1:13" x14ac:dyDescent="0.25">
      <c r="A22" s="4"/>
      <c r="B22" s="5"/>
      <c r="C22" s="5"/>
      <c r="D22" s="5"/>
      <c r="E22" s="6"/>
      <c r="H22" s="15" t="s">
        <v>4</v>
      </c>
      <c r="I22" s="15" t="s">
        <v>33</v>
      </c>
      <c r="J22" s="15" t="s">
        <v>34</v>
      </c>
      <c r="K22" s="15" t="s">
        <v>36</v>
      </c>
      <c r="L22" s="15" t="s">
        <v>35</v>
      </c>
      <c r="M22" s="15" t="s">
        <v>37</v>
      </c>
    </row>
    <row r="23" spans="1:13" ht="15.75" thickBot="1" x14ac:dyDescent="0.3">
      <c r="A23" s="8"/>
      <c r="B23" s="9" t="s">
        <v>30</v>
      </c>
      <c r="C23" s="10" t="str">
        <f>IFERROR($C$20+$C$21, " ")</f>
        <v xml:space="preserve"> </v>
      </c>
      <c r="D23" s="9"/>
      <c r="E23" s="11"/>
      <c r="H23" s="22"/>
      <c r="I23" s="23"/>
      <c r="J23" s="24"/>
      <c r="K23" s="23"/>
      <c r="L23" s="25"/>
      <c r="M23" s="26"/>
    </row>
    <row r="24" spans="1:13" ht="15.75" thickTop="1" x14ac:dyDescent="0.25">
      <c r="H24" s="27"/>
      <c r="I24" s="28"/>
      <c r="J24" s="29"/>
      <c r="K24" s="28"/>
      <c r="L24" s="30"/>
      <c r="M24" s="31"/>
    </row>
    <row r="25" spans="1:13" x14ac:dyDescent="0.25">
      <c r="H25" s="17"/>
      <c r="I25" s="18"/>
      <c r="J25" s="18"/>
      <c r="K25" s="18"/>
      <c r="L25" s="18"/>
      <c r="M25" s="19"/>
    </row>
    <row r="26" spans="1:13" x14ac:dyDescent="0.25">
      <c r="H26" s="49" t="s">
        <v>41</v>
      </c>
      <c r="I26" s="50"/>
      <c r="J26" s="5"/>
      <c r="K26" s="35" t="s">
        <v>28</v>
      </c>
      <c r="L26" s="36"/>
      <c r="M26" s="32">
        <f>SUM(K23:K24)</f>
        <v>0</v>
      </c>
    </row>
    <row r="27" spans="1:13" x14ac:dyDescent="0.25">
      <c r="H27" s="49" t="s">
        <v>42</v>
      </c>
      <c r="I27" s="50"/>
      <c r="J27" s="5"/>
      <c r="K27" s="35" t="s">
        <v>39</v>
      </c>
      <c r="L27" s="36"/>
      <c r="M27" s="32">
        <f>SUM(L23:L24)</f>
        <v>0</v>
      </c>
    </row>
    <row r="28" spans="1:13" x14ac:dyDescent="0.25">
      <c r="H28" s="37" t="s">
        <v>43</v>
      </c>
      <c r="I28" s="38"/>
      <c r="J28" s="16"/>
      <c r="K28" s="35" t="s">
        <v>40</v>
      </c>
      <c r="L28" s="36"/>
      <c r="M28" s="33">
        <f>SUM(M26:M27)</f>
        <v>0</v>
      </c>
    </row>
    <row r="34" spans="2:5" ht="22.5" x14ac:dyDescent="0.3">
      <c r="C34" s="39" t="s">
        <v>0</v>
      </c>
      <c r="D34" s="39"/>
    </row>
    <row r="35" spans="2:5" x14ac:dyDescent="0.25">
      <c r="B35" s="3" t="s">
        <v>4</v>
      </c>
      <c r="C35" s="3" t="s">
        <v>1</v>
      </c>
      <c r="D35" s="3" t="s">
        <v>2</v>
      </c>
      <c r="E35" s="3" t="s">
        <v>3</v>
      </c>
    </row>
    <row r="36" spans="2:5" x14ac:dyDescent="0.25">
      <c r="B36" s="1">
        <v>1111</v>
      </c>
      <c r="C36" t="s">
        <v>5</v>
      </c>
      <c r="D36" s="2">
        <v>1.99</v>
      </c>
      <c r="E36" s="1"/>
    </row>
    <row r="37" spans="2:5" x14ac:dyDescent="0.25">
      <c r="B37" s="1">
        <v>1112</v>
      </c>
      <c r="C37" t="s">
        <v>6</v>
      </c>
      <c r="D37" s="2">
        <v>1.49</v>
      </c>
      <c r="E37" s="1"/>
    </row>
    <row r="38" spans="2:5" x14ac:dyDescent="0.25">
      <c r="B38" s="1">
        <v>1113</v>
      </c>
      <c r="C38" t="s">
        <v>7</v>
      </c>
      <c r="D38" s="2">
        <v>5.79</v>
      </c>
      <c r="E38" s="1" t="s">
        <v>23</v>
      </c>
    </row>
    <row r="39" spans="2:5" x14ac:dyDescent="0.25">
      <c r="B39" s="1">
        <v>1114</v>
      </c>
      <c r="C39" t="s">
        <v>8</v>
      </c>
      <c r="D39" s="2">
        <v>4.6900000000000004</v>
      </c>
      <c r="E39" s="1" t="s">
        <v>23</v>
      </c>
    </row>
    <row r="40" spans="2:5" x14ac:dyDescent="0.25">
      <c r="B40" s="1">
        <v>1115</v>
      </c>
      <c r="C40" t="s">
        <v>16</v>
      </c>
      <c r="D40" s="2">
        <v>3.99</v>
      </c>
      <c r="E40" s="1" t="s">
        <v>23</v>
      </c>
    </row>
    <row r="41" spans="2:5" x14ac:dyDescent="0.25">
      <c r="B41" s="1">
        <v>1116</v>
      </c>
      <c r="C41" t="s">
        <v>17</v>
      </c>
      <c r="D41" s="2">
        <v>299.99</v>
      </c>
      <c r="E41" s="1" t="s">
        <v>23</v>
      </c>
    </row>
    <row r="42" spans="2:5" x14ac:dyDescent="0.25">
      <c r="B42" s="1">
        <v>1117</v>
      </c>
      <c r="C42" t="s">
        <v>18</v>
      </c>
      <c r="D42" s="2">
        <v>2.99</v>
      </c>
      <c r="E42" s="1"/>
    </row>
    <row r="43" spans="2:5" x14ac:dyDescent="0.25">
      <c r="B43" s="1">
        <v>1118</v>
      </c>
      <c r="C43" t="s">
        <v>19</v>
      </c>
      <c r="D43" s="2">
        <v>1.29</v>
      </c>
      <c r="E43" s="1"/>
    </row>
    <row r="44" spans="2:5" x14ac:dyDescent="0.25">
      <c r="B44" s="1">
        <v>1119</v>
      </c>
      <c r="C44" t="s">
        <v>20</v>
      </c>
      <c r="D44" s="2">
        <v>3.49</v>
      </c>
      <c r="E44" s="1"/>
    </row>
    <row r="45" spans="2:5" x14ac:dyDescent="0.25">
      <c r="B45" s="1">
        <v>1120</v>
      </c>
      <c r="C45" t="s">
        <v>21</v>
      </c>
      <c r="D45" s="2">
        <v>13.5</v>
      </c>
      <c r="E45" s="1" t="s">
        <v>23</v>
      </c>
    </row>
    <row r="46" spans="2:5" x14ac:dyDescent="0.25">
      <c r="B46" s="1">
        <v>1121</v>
      </c>
      <c r="C46" t="s">
        <v>22</v>
      </c>
      <c r="D46" s="2">
        <v>6.99</v>
      </c>
      <c r="E46" s="1" t="s">
        <v>23</v>
      </c>
    </row>
    <row r="47" spans="2:5" x14ac:dyDescent="0.25">
      <c r="B47" s="1">
        <v>1122</v>
      </c>
      <c r="C47" t="s">
        <v>15</v>
      </c>
      <c r="D47" s="2">
        <v>5.79</v>
      </c>
      <c r="E47" s="1" t="s">
        <v>23</v>
      </c>
    </row>
    <row r="48" spans="2:5" x14ac:dyDescent="0.25">
      <c r="B48" s="1">
        <v>1123</v>
      </c>
      <c r="C48" t="s">
        <v>14</v>
      </c>
      <c r="D48" s="2">
        <v>1.79</v>
      </c>
      <c r="E48" s="1"/>
    </row>
    <row r="49" spans="2:5" x14ac:dyDescent="0.25">
      <c r="B49" s="1">
        <v>1124</v>
      </c>
      <c r="C49" t="s">
        <v>13</v>
      </c>
      <c r="D49" s="2">
        <v>3.19</v>
      </c>
      <c r="E49" s="1" t="s">
        <v>23</v>
      </c>
    </row>
    <row r="50" spans="2:5" x14ac:dyDescent="0.25">
      <c r="B50" s="1">
        <v>1125</v>
      </c>
      <c r="C50" t="s">
        <v>12</v>
      </c>
      <c r="D50" s="2">
        <v>0.99</v>
      </c>
      <c r="E50" s="1" t="s">
        <v>23</v>
      </c>
    </row>
    <row r="51" spans="2:5" x14ac:dyDescent="0.25">
      <c r="B51" s="1">
        <v>1126</v>
      </c>
      <c r="C51" t="s">
        <v>11</v>
      </c>
      <c r="D51" s="2">
        <v>1.0900000000000001</v>
      </c>
      <c r="E51" s="1" t="s">
        <v>23</v>
      </c>
    </row>
    <row r="52" spans="2:5" x14ac:dyDescent="0.25">
      <c r="B52" s="1">
        <v>1127</v>
      </c>
      <c r="C52" t="s">
        <v>10</v>
      </c>
      <c r="D52" s="2">
        <v>249.99</v>
      </c>
      <c r="E52" s="1" t="s">
        <v>23</v>
      </c>
    </row>
    <row r="53" spans="2:5" x14ac:dyDescent="0.25">
      <c r="B53" s="1">
        <v>1128</v>
      </c>
      <c r="C53" t="s">
        <v>9</v>
      </c>
      <c r="D53" s="2">
        <v>325.99</v>
      </c>
      <c r="E53" s="1" t="s">
        <v>23</v>
      </c>
    </row>
  </sheetData>
  <sheetProtection sheet="1" objects="1" scenarios="1" selectLockedCells="1"/>
  <protectedRanges>
    <protectedRange password="F5BB" sqref="C12:C13" name="Insertion"/>
  </protectedRanges>
  <mergeCells count="18">
    <mergeCell ref="H4:M4"/>
    <mergeCell ref="H5:M5"/>
    <mergeCell ref="K12:L12"/>
    <mergeCell ref="K13:L13"/>
    <mergeCell ref="K14:L14"/>
    <mergeCell ref="H12:I12"/>
    <mergeCell ref="H13:I13"/>
    <mergeCell ref="H14:I14"/>
    <mergeCell ref="K27:L27"/>
    <mergeCell ref="H28:I28"/>
    <mergeCell ref="K28:L28"/>
    <mergeCell ref="C34:D34"/>
    <mergeCell ref="A10:E10"/>
    <mergeCell ref="H20:M20"/>
    <mergeCell ref="H21:M21"/>
    <mergeCell ref="H27:I27"/>
    <mergeCell ref="H26:I26"/>
    <mergeCell ref="K26:L26"/>
  </mergeCells>
  <conditionalFormatting sqref="L7:L10">
    <cfRule type="cellIs" dxfId="1" priority="2" operator="equal">
      <formula>0</formula>
    </cfRule>
  </conditionalFormatting>
  <conditionalFormatting sqref="L23:L24">
    <cfRule type="cellIs" dxfId="0" priority="1" operator="equal">
      <formula>0</formula>
    </cfRule>
  </conditionalFormatting>
  <dataValidations xWindow="272" yWindow="332" count="2">
    <dataValidation type="whole" allowBlank="1" showInputMessage="1" showErrorMessage="1" errorTitle="Invalid Code" error="The item code you entered is not valid." promptTitle="Insert Code" prompt="Insert the Item's Code Here." sqref="C12">
      <formula1>1111</formula1>
      <formula2>1128</formula2>
    </dataValidation>
    <dataValidation type="whole" allowBlank="1" showInputMessage="1" showErrorMessage="1" errorTitle="Invalid Quantity" error="The quantity you entered is not valid." promptTitle="Insert Quantity" prompt="Insert the item quantity here." sqref="C13">
      <formula1>1</formula1>
      <formula2>100</formula2>
    </dataValidation>
  </dataValidations>
  <pageMargins left="0.7" right="0.7" top="0.75" bottom="0.75" header="0.3" footer="0.3"/>
  <pageSetup scale="62" orientation="landscape" horizontalDpi="4294967294" vertic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PriceMart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Chris Kruse</cp:lastModifiedBy>
  <cp:lastPrinted>2011-09-07T16:35:57Z</cp:lastPrinted>
  <dcterms:created xsi:type="dcterms:W3CDTF">2011-09-06T23:50:29Z</dcterms:created>
  <dcterms:modified xsi:type="dcterms:W3CDTF">2011-09-07T17:00:13Z</dcterms:modified>
</cp:coreProperties>
</file>