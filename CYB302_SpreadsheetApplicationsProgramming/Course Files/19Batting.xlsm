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20" windowWidth="15195" windowHeight="8700" activeTab="1"/>
  </bookViews>
  <sheets>
    <sheet name="Documentation" sheetId="4" r:id="rId1"/>
    <sheet name="Stats" sheetId="3" r:id="rId2"/>
  </sheets>
  <functionGroups/>
  <calcPr calcId="125725"/>
</workbook>
</file>

<file path=xl/calcChain.xml><?xml version="1.0" encoding="utf-8"?>
<calcChain xmlns="http://schemas.openxmlformats.org/spreadsheetml/2006/main">
  <c r="K7" i="3"/>
  <c r="K35"/>
  <c r="K41"/>
  <c r="K15"/>
  <c r="K44"/>
  <c r="K13"/>
  <c r="K25"/>
  <c r="K5"/>
  <c r="K19"/>
  <c r="K20"/>
  <c r="K14"/>
  <c r="K32"/>
  <c r="K10"/>
  <c r="K16"/>
  <c r="K28"/>
  <c r="K18"/>
  <c r="K9"/>
  <c r="K31"/>
  <c r="K34"/>
  <c r="K42"/>
  <c r="J14"/>
  <c r="J32"/>
  <c r="J10"/>
  <c r="J16"/>
  <c r="J28"/>
  <c r="J18"/>
  <c r="J9"/>
  <c r="J31"/>
  <c r="J34"/>
  <c r="J42"/>
  <c r="J7"/>
  <c r="J35"/>
  <c r="J41"/>
  <c r="J15"/>
  <c r="J44"/>
  <c r="J13"/>
  <c r="J25"/>
  <c r="J5"/>
  <c r="J19"/>
  <c r="J20"/>
  <c r="K29"/>
  <c r="K12"/>
  <c r="K6"/>
  <c r="K23"/>
  <c r="K27"/>
  <c r="K22"/>
  <c r="K40"/>
  <c r="K24"/>
  <c r="K33"/>
  <c r="K21"/>
  <c r="K17"/>
  <c r="K11"/>
  <c r="K37"/>
  <c r="K38"/>
  <c r="K43"/>
  <c r="K8"/>
  <c r="K30"/>
  <c r="K39"/>
  <c r="K26"/>
  <c r="K36"/>
  <c r="J17"/>
  <c r="J11"/>
  <c r="J37"/>
  <c r="J38"/>
  <c r="J43"/>
  <c r="J8"/>
  <c r="J30"/>
  <c r="J39"/>
  <c r="J26"/>
  <c r="J36"/>
  <c r="J29"/>
  <c r="J12"/>
  <c r="J6"/>
  <c r="J23"/>
  <c r="J27"/>
  <c r="J22"/>
  <c r="J40"/>
  <c r="J24"/>
  <c r="J33"/>
  <c r="J21"/>
</calcChain>
</file>

<file path=xl/sharedStrings.xml><?xml version="1.0" encoding="utf-8"?>
<sst xmlns="http://schemas.openxmlformats.org/spreadsheetml/2006/main" count="58" uniqueCount="57">
  <si>
    <t>AB</t>
  </si>
  <si>
    <t>R</t>
  </si>
  <si>
    <t>H</t>
  </si>
  <si>
    <t>2B</t>
  </si>
  <si>
    <t>3B</t>
  </si>
  <si>
    <t>HR</t>
  </si>
  <si>
    <t>RBI</t>
  </si>
  <si>
    <t>BA</t>
  </si>
  <si>
    <t>SLG</t>
  </si>
  <si>
    <t>Castle, Michael</t>
  </si>
  <si>
    <t>Smith, John</t>
  </si>
  <si>
    <t>Randle, Joshua</t>
  </si>
  <si>
    <t>Majeski, Dylan</t>
  </si>
  <si>
    <t>Brennan, Guy</t>
  </si>
  <si>
    <t>Arevalo, Joshua</t>
  </si>
  <si>
    <t>Knight, David</t>
  </si>
  <si>
    <t>Ivey, Hoyt</t>
  </si>
  <si>
    <t>Gloria, Terry</t>
  </si>
  <si>
    <t>Harris, Luther</t>
  </si>
  <si>
    <t>Hayden, Danny</t>
  </si>
  <si>
    <t>Rhodes, Russell</t>
  </si>
  <si>
    <t>Wright, Charles</t>
  </si>
  <si>
    <t>Hobbs, Jordan</t>
  </si>
  <si>
    <t>Wooten, Lindsey</t>
  </si>
  <si>
    <t>Anderson, Robert</t>
  </si>
  <si>
    <t>Jackson, Theodore</t>
  </si>
  <si>
    <t>Maloney, Matthew</t>
  </si>
  <si>
    <t>Harrison, Marvin</t>
  </si>
  <si>
    <t>Carswell, David</t>
  </si>
  <si>
    <t>Marciniak, Joshua</t>
  </si>
  <si>
    <t>Barker, Patrick</t>
  </si>
  <si>
    <t>Lechuga, Jose</t>
  </si>
  <si>
    <t>Weldon, Booker</t>
  </si>
  <si>
    <t>Wallis, David</t>
  </si>
  <si>
    <t>Wood, Robert</t>
  </si>
  <si>
    <t>Harney, Robert</t>
  </si>
  <si>
    <t>Hunger, Peter</t>
  </si>
  <si>
    <t>Hays, David</t>
  </si>
  <si>
    <t>Sanchez, Victor</t>
  </si>
  <si>
    <t>Burnette, Thomas</t>
  </si>
  <si>
    <t>Valdez, Arnold</t>
  </si>
  <si>
    <t>Wurst, Jeff</t>
  </si>
  <si>
    <t>Barrett, Darryl</t>
  </si>
  <si>
    <t>Benoit, Walter</t>
  </si>
  <si>
    <t>Selby, William</t>
  </si>
  <si>
    <t>Riding, Robert</t>
  </si>
  <si>
    <t>Joyner, William</t>
  </si>
  <si>
    <t>Mullikin, Raymond</t>
  </si>
  <si>
    <t>Sylvester, William</t>
  </si>
  <si>
    <t>Player</t>
  </si>
  <si>
    <t>Stats, Inc.</t>
  </si>
  <si>
    <t>To display baseball statistics for the recent season</t>
  </si>
  <si>
    <t>Author</t>
  </si>
  <si>
    <t>Date</t>
  </si>
  <si>
    <t>Purpose</t>
  </si>
  <si>
    <t>Batting Statistics</t>
  </si>
  <si>
    <t>Ryan T. Stearns</t>
  </si>
</sst>
</file>

<file path=xl/styles.xml><?xml version="1.0" encoding="utf-8"?>
<styleSheet xmlns="http://schemas.openxmlformats.org/spreadsheetml/2006/main">
  <numFmts count="1">
    <numFmt numFmtId="164" formatCode="0.000"/>
  </numFmts>
  <fonts count="10">
    <font>
      <sz val="10"/>
      <name val="Arial"/>
    </font>
    <font>
      <sz val="8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61"/>
      <name val="Calibri"/>
      <family val="2"/>
      <scheme val="minor"/>
    </font>
    <font>
      <b/>
      <sz val="11"/>
      <color indexed="61"/>
      <name val="Calibri"/>
      <family val="2"/>
      <scheme val="minor"/>
    </font>
    <font>
      <b/>
      <sz val="26"/>
      <color theme="0"/>
      <name val="Cambria"/>
      <family val="2"/>
      <scheme val="major"/>
    </font>
    <font>
      <sz val="11"/>
      <name val="Calibri"/>
      <family val="2"/>
      <scheme val="minor"/>
    </font>
    <font>
      <b/>
      <sz val="13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type="path" left="1" right="1" top="1" bottom="1">
        <stop position="0">
          <color theme="0"/>
        </stop>
        <stop position="1">
          <color theme="5" tint="-0.25098422193060094"/>
        </stop>
      </gradient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1"/>
      </left>
      <right style="medium">
        <color indexed="61"/>
      </right>
      <top style="medium">
        <color indexed="61"/>
      </top>
      <bottom style="thin">
        <color indexed="61"/>
      </bottom>
      <diagonal/>
    </border>
    <border>
      <left style="medium">
        <color indexed="61"/>
      </left>
      <right style="medium">
        <color indexed="61"/>
      </right>
      <top style="thin">
        <color indexed="61"/>
      </top>
      <bottom style="medium">
        <color indexed="61"/>
      </bottom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4" applyNumberFormat="0" applyFill="0" applyAlignment="0" applyProtection="0"/>
  </cellStyleXfs>
  <cellXfs count="25">
    <xf numFmtId="0" fontId="0" fillId="0" borderId="0" xfId="0"/>
    <xf numFmtId="0" fontId="5" fillId="2" borderId="0" xfId="0" applyFont="1" applyFill="1"/>
    <xf numFmtId="0" fontId="6" fillId="2" borderId="0" xfId="0" applyFont="1" applyFill="1"/>
    <xf numFmtId="0" fontId="6" fillId="2" borderId="0" xfId="0" applyFont="1" applyFill="1" applyAlignment="1">
      <alignment vertical="top"/>
    </xf>
    <xf numFmtId="14" fontId="5" fillId="2" borderId="2" xfId="0" applyNumberFormat="1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0" xfId="0" applyFont="1" applyFill="1" applyAlignment="1">
      <alignment vertical="top" wrapText="1"/>
    </xf>
    <xf numFmtId="0" fontId="8" fillId="0" borderId="0" xfId="0" applyFont="1"/>
    <xf numFmtId="0" fontId="9" fillId="0" borderId="0" xfId="2" applyFont="1" applyBorder="1"/>
    <xf numFmtId="0" fontId="4" fillId="4" borderId="11" xfId="0" applyFont="1" applyFill="1" applyBorder="1"/>
    <xf numFmtId="0" fontId="4" fillId="4" borderId="7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8" fillId="0" borderId="9" xfId="0" applyFont="1" applyFill="1" applyBorder="1"/>
    <xf numFmtId="0" fontId="8" fillId="0" borderId="1" xfId="0" applyFont="1" applyFill="1" applyBorder="1"/>
    <xf numFmtId="164" fontId="8" fillId="0" borderId="1" xfId="0" applyNumberFormat="1" applyFont="1" applyFill="1" applyBorder="1"/>
    <xf numFmtId="164" fontId="8" fillId="0" borderId="10" xfId="0" applyNumberFormat="1" applyFont="1" applyFill="1" applyBorder="1"/>
    <xf numFmtId="0" fontId="8" fillId="0" borderId="13" xfId="0" applyFont="1" applyFill="1" applyBorder="1"/>
    <xf numFmtId="0" fontId="8" fillId="0" borderId="14" xfId="0" applyFont="1" applyFill="1" applyBorder="1"/>
    <xf numFmtId="164" fontId="8" fillId="0" borderId="14" xfId="0" applyNumberFormat="1" applyFont="1" applyFill="1" applyBorder="1"/>
    <xf numFmtId="164" fontId="8" fillId="0" borderId="15" xfId="0" applyNumberFormat="1" applyFont="1" applyFill="1" applyBorder="1"/>
    <xf numFmtId="14" fontId="5" fillId="2" borderId="3" xfId="0" applyNumberFormat="1" applyFont="1" applyFill="1" applyBorder="1" applyAlignment="1">
      <alignment vertical="top"/>
    </xf>
    <xf numFmtId="0" fontId="7" fillId="3" borderId="5" xfId="1" applyFont="1" applyFill="1" applyBorder="1" applyAlignment="1">
      <alignment horizontal="left"/>
    </xf>
    <xf numFmtId="0" fontId="7" fillId="3" borderId="6" xfId="1" applyFont="1" applyFill="1" applyBorder="1" applyAlignment="1">
      <alignment horizontal="left"/>
    </xf>
    <xf numFmtId="0" fontId="7" fillId="3" borderId="8" xfId="1" applyFont="1" applyFill="1" applyBorder="1" applyAlignment="1">
      <alignment horizontal="left"/>
    </xf>
    <xf numFmtId="0" fontId="7" fillId="3" borderId="0" xfId="1" applyFont="1" applyFill="1" applyBorder="1" applyAlignment="1">
      <alignment horizontal="left"/>
    </xf>
  </cellXfs>
  <cellStyles count="3">
    <cellStyle name="Heading 2" xfId="2" builtinId="17"/>
    <cellStyle name="Normal" xfId="0" builtinId="0"/>
    <cellStyle name="Title" xfId="1" builtinId="1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4:K44" totalsRowShown="0" headerRowDxfId="14" dataDxfId="12" headerRowBorderDxfId="13" tableBorderDxfId="11" totalsRowBorderDxfId="10">
  <sortState ref="B5:K44">
    <sortCondition descending="1" ref="K5"/>
  </sortState>
  <tableColumns count="10">
    <tableColumn id="1" name="Player" dataDxfId="9"/>
    <tableColumn id="2" name="AB" dataDxfId="8"/>
    <tableColumn id="3" name="R" dataDxfId="7"/>
    <tableColumn id="4" name="H" dataDxfId="6"/>
    <tableColumn id="5" name="2B" dataDxfId="5"/>
    <tableColumn id="6" name="3B" dataDxfId="4"/>
    <tableColumn id="7" name="HR" dataDxfId="3"/>
    <tableColumn id="8" name="RBI" dataDxfId="2"/>
    <tableColumn id="9" name="BA" dataDxfId="1">
      <calculatedColumnFormula>BA(Table1[[#This Row],[H]],Table1[[#This Row],[AB]])</calculatedColumnFormula>
    </tableColumn>
    <tableColumn id="10" name="SLG" dataDxfId="0">
      <calculatedColumnFormula>SLG(Table1[[#This Row],[H]],Table1[[#This Row],[2B]],Table1[[#This Row],[3B]],Table1[[#This Row],[HR]],Table1[[#This Row],[AB]])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zoomScale="120" zoomScaleNormal="120" workbookViewId="0">
      <selection activeCell="E24" sqref="E24"/>
    </sheetView>
  </sheetViews>
  <sheetFormatPr defaultRowHeight="15"/>
  <cols>
    <col min="1" max="1" width="14.42578125" style="1" customWidth="1"/>
    <col min="2" max="2" width="27.5703125" style="1" customWidth="1"/>
    <col min="3" max="16384" width="9.140625" style="1"/>
  </cols>
  <sheetData>
    <row r="1" spans="1:2" ht="33.75" thickTop="1">
      <c r="A1" s="21" t="s">
        <v>50</v>
      </c>
      <c r="B1" s="22"/>
    </row>
    <row r="2" spans="1:2" ht="15.75" thickBot="1">
      <c r="A2" s="2"/>
    </row>
    <row r="3" spans="1:2">
      <c r="A3" s="3" t="s">
        <v>52</v>
      </c>
      <c r="B3" s="4" t="s">
        <v>56</v>
      </c>
    </row>
    <row r="4" spans="1:2" ht="15.75" thickBot="1">
      <c r="A4" s="3" t="s">
        <v>53</v>
      </c>
      <c r="B4" s="20">
        <v>40513</v>
      </c>
    </row>
    <row r="5" spans="1:2">
      <c r="A5" s="3"/>
      <c r="B5" s="5"/>
    </row>
    <row r="6" spans="1:2" ht="30">
      <c r="A6" s="3" t="s">
        <v>54</v>
      </c>
      <c r="B6" s="6" t="s">
        <v>51</v>
      </c>
    </row>
  </sheetData>
  <mergeCells count="1">
    <mergeCell ref="A1:B1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K44"/>
  <sheetViews>
    <sheetView tabSelected="1" zoomScale="120" zoomScaleNormal="120" workbookViewId="0"/>
  </sheetViews>
  <sheetFormatPr defaultRowHeight="15"/>
  <cols>
    <col min="1" max="1" width="2.5703125" style="7" customWidth="1"/>
    <col min="2" max="2" width="21.7109375" style="7" customWidth="1"/>
    <col min="3" max="8" width="5.140625" style="7" customWidth="1"/>
    <col min="9" max="9" width="5.5703125" style="7" customWidth="1"/>
    <col min="10" max="16384" width="9.140625" style="7"/>
  </cols>
  <sheetData>
    <row r="1" spans="2:11" ht="33">
      <c r="B1" s="23" t="s">
        <v>50</v>
      </c>
      <c r="C1" s="24"/>
      <c r="D1" s="24"/>
      <c r="E1" s="24"/>
      <c r="F1" s="24"/>
      <c r="G1" s="24"/>
      <c r="H1" s="24"/>
      <c r="I1" s="24"/>
      <c r="J1" s="24"/>
      <c r="K1" s="24"/>
    </row>
    <row r="3" spans="2:11" ht="17.25">
      <c r="B3" s="8" t="s">
        <v>55</v>
      </c>
    </row>
    <row r="4" spans="2:11">
      <c r="B4" s="9" t="s">
        <v>49</v>
      </c>
      <c r="C4" s="10" t="s">
        <v>0</v>
      </c>
      <c r="D4" s="10" t="s">
        <v>1</v>
      </c>
      <c r="E4" s="10" t="s">
        <v>2</v>
      </c>
      <c r="F4" s="10" t="s">
        <v>3</v>
      </c>
      <c r="G4" s="10" t="s">
        <v>4</v>
      </c>
      <c r="H4" s="10" t="s">
        <v>5</v>
      </c>
      <c r="I4" s="10" t="s">
        <v>6</v>
      </c>
      <c r="J4" s="10" t="s">
        <v>7</v>
      </c>
      <c r="K4" s="11" t="s">
        <v>8</v>
      </c>
    </row>
    <row r="5" spans="2:11">
      <c r="B5" s="12" t="s">
        <v>10</v>
      </c>
      <c r="C5" s="13">
        <v>373</v>
      </c>
      <c r="D5" s="13">
        <v>129</v>
      </c>
      <c r="E5" s="13">
        <v>135</v>
      </c>
      <c r="F5" s="13">
        <v>27</v>
      </c>
      <c r="G5" s="13">
        <v>3</v>
      </c>
      <c r="H5" s="13">
        <v>45</v>
      </c>
      <c r="I5" s="13">
        <v>101</v>
      </c>
      <c r="J5" s="14">
        <f>BA(Table1[[#This Row],[H]],Table1[[#This Row],[AB]])</f>
        <v>0.36193029490616624</v>
      </c>
      <c r="K5" s="15">
        <f>SLG(Table1[[#This Row],[H]],Table1[[#This Row],[2B]],Table1[[#This Row],[3B]],Table1[[#This Row],[HR]],Table1[[#This Row],[AB]])</f>
        <v>0.81233243967828417</v>
      </c>
    </row>
    <row r="6" spans="2:11">
      <c r="B6" s="12" t="s">
        <v>17</v>
      </c>
      <c r="C6" s="13">
        <v>592</v>
      </c>
      <c r="D6" s="13">
        <v>133</v>
      </c>
      <c r="E6" s="13">
        <v>196</v>
      </c>
      <c r="F6" s="13">
        <v>51</v>
      </c>
      <c r="G6" s="13">
        <v>2</v>
      </c>
      <c r="H6" s="13">
        <v>46</v>
      </c>
      <c r="I6" s="13">
        <v>123</v>
      </c>
      <c r="J6" s="14">
        <f>BA(Table1[[#This Row],[H]],Table1[[#This Row],[AB]])</f>
        <v>0.33108108108108109</v>
      </c>
      <c r="K6" s="15">
        <f>SLG(Table1[[#This Row],[H]],Table1[[#This Row],[2B]],Table1[[#This Row],[3B]],Table1[[#This Row],[HR]],Table1[[#This Row],[AB]])</f>
        <v>0.65709459459459463</v>
      </c>
    </row>
    <row r="7" spans="2:11">
      <c r="B7" s="12" t="s">
        <v>42</v>
      </c>
      <c r="C7" s="13">
        <v>498</v>
      </c>
      <c r="D7" s="13">
        <v>102</v>
      </c>
      <c r="E7" s="13">
        <v>150</v>
      </c>
      <c r="F7" s="13">
        <v>38</v>
      </c>
      <c r="G7" s="13">
        <v>3</v>
      </c>
      <c r="H7" s="13">
        <v>42</v>
      </c>
      <c r="I7" s="13">
        <v>111</v>
      </c>
      <c r="J7" s="14">
        <f>BA(Table1[[#This Row],[H]],Table1[[#This Row],[AB]])</f>
        <v>0.30120481927710846</v>
      </c>
      <c r="K7" s="15">
        <f>SLG(Table1[[#This Row],[H]],Table1[[#This Row],[2B]],Table1[[#This Row],[3B]],Table1[[#This Row],[HR]],Table1[[#This Row],[AB]])</f>
        <v>0.64257028112449799</v>
      </c>
    </row>
    <row r="8" spans="2:11">
      <c r="B8" s="12" t="s">
        <v>15</v>
      </c>
      <c r="C8" s="13">
        <v>598</v>
      </c>
      <c r="D8" s="13">
        <v>104</v>
      </c>
      <c r="E8" s="13">
        <v>200</v>
      </c>
      <c r="F8" s="13">
        <v>32</v>
      </c>
      <c r="G8" s="13">
        <v>0</v>
      </c>
      <c r="H8" s="13">
        <v>48</v>
      </c>
      <c r="I8" s="13">
        <v>121</v>
      </c>
      <c r="J8" s="14">
        <f>BA(Table1[[#This Row],[H]],Table1[[#This Row],[AB]])</f>
        <v>0.33444816053511706</v>
      </c>
      <c r="K8" s="15">
        <f>SLG(Table1[[#This Row],[H]],Table1[[#This Row],[2B]],Table1[[#This Row],[3B]],Table1[[#This Row],[HR]],Table1[[#This Row],[AB]])</f>
        <v>0.62876254180602009</v>
      </c>
    </row>
    <row r="9" spans="2:11">
      <c r="B9" s="12" t="s">
        <v>11</v>
      </c>
      <c r="C9" s="13">
        <v>547</v>
      </c>
      <c r="D9" s="13">
        <v>115</v>
      </c>
      <c r="E9" s="13">
        <v>190</v>
      </c>
      <c r="F9" s="13">
        <v>49</v>
      </c>
      <c r="G9" s="13">
        <v>2</v>
      </c>
      <c r="H9" s="13">
        <v>32</v>
      </c>
      <c r="I9" s="13">
        <v>96</v>
      </c>
      <c r="J9" s="14">
        <f>BA(Table1[[#This Row],[H]],Table1[[#This Row],[AB]])</f>
        <v>0.34734917733089582</v>
      </c>
      <c r="K9" s="15">
        <f>SLG(Table1[[#This Row],[H]],Table1[[#This Row],[2B]],Table1[[#This Row],[3B]],Table1[[#This Row],[HR]],Table1[[#This Row],[AB]])</f>
        <v>0.61974405850091407</v>
      </c>
    </row>
    <row r="10" spans="2:11">
      <c r="B10" s="12" t="s">
        <v>35</v>
      </c>
      <c r="C10" s="13">
        <v>568</v>
      </c>
      <c r="D10" s="13">
        <v>108</v>
      </c>
      <c r="E10" s="13">
        <v>175</v>
      </c>
      <c r="F10" s="13">
        <v>44</v>
      </c>
      <c r="G10" s="13">
        <v>0</v>
      </c>
      <c r="H10" s="13">
        <v>43</v>
      </c>
      <c r="I10" s="13">
        <v>130</v>
      </c>
      <c r="J10" s="14">
        <f>BA(Table1[[#This Row],[H]],Table1[[#This Row],[AB]])</f>
        <v>0.30809859154929575</v>
      </c>
      <c r="K10" s="15">
        <f>SLG(Table1[[#This Row],[H]],Table1[[#This Row],[2B]],Table1[[#This Row],[3B]],Table1[[#This Row],[HR]],Table1[[#This Row],[AB]])</f>
        <v>0.61267605633802813</v>
      </c>
    </row>
    <row r="11" spans="2:11">
      <c r="B11" s="12" t="s">
        <v>43</v>
      </c>
      <c r="C11" s="13">
        <v>582</v>
      </c>
      <c r="D11" s="13">
        <v>94</v>
      </c>
      <c r="E11" s="13">
        <v>175</v>
      </c>
      <c r="F11" s="13">
        <v>47</v>
      </c>
      <c r="G11" s="13">
        <v>3</v>
      </c>
      <c r="H11" s="13">
        <v>41</v>
      </c>
      <c r="I11" s="13">
        <v>139</v>
      </c>
      <c r="J11" s="14">
        <f>BA(Table1[[#This Row],[H]],Table1[[#This Row],[AB]])</f>
        <v>0.30068728522336768</v>
      </c>
      <c r="K11" s="15">
        <f>SLG(Table1[[#This Row],[H]],Table1[[#This Row],[2B]],Table1[[#This Row],[3B]],Table1[[#This Row],[HR]],Table1[[#This Row],[AB]])</f>
        <v>0.60309278350515461</v>
      </c>
    </row>
    <row r="12" spans="2:11">
      <c r="B12" s="12" t="s">
        <v>13</v>
      </c>
      <c r="C12" s="13">
        <v>612</v>
      </c>
      <c r="D12" s="13">
        <v>124</v>
      </c>
      <c r="E12" s="13">
        <v>206</v>
      </c>
      <c r="F12" s="13">
        <v>39</v>
      </c>
      <c r="G12" s="13">
        <v>2</v>
      </c>
      <c r="H12" s="13">
        <v>39</v>
      </c>
      <c r="I12" s="13">
        <v>126</v>
      </c>
      <c r="J12" s="14">
        <f>BA(Table1[[#This Row],[H]],Table1[[#This Row],[AB]])</f>
        <v>0.33660130718954251</v>
      </c>
      <c r="K12" s="15">
        <f>SLG(Table1[[#This Row],[H]],Table1[[#This Row],[2B]],Table1[[#This Row],[3B]],Table1[[#This Row],[HR]],Table1[[#This Row],[AB]])</f>
        <v>0.59803921568627449</v>
      </c>
    </row>
    <row r="13" spans="2:11">
      <c r="B13" s="12" t="s">
        <v>26</v>
      </c>
      <c r="C13" s="13">
        <v>500</v>
      </c>
      <c r="D13" s="13">
        <v>109</v>
      </c>
      <c r="E13" s="13">
        <v>157</v>
      </c>
      <c r="F13" s="13">
        <v>32</v>
      </c>
      <c r="G13" s="13">
        <v>4</v>
      </c>
      <c r="H13" s="13">
        <v>34</v>
      </c>
      <c r="I13" s="13">
        <v>124</v>
      </c>
      <c r="J13" s="14">
        <f>BA(Table1[[#This Row],[H]],Table1[[#This Row],[AB]])</f>
        <v>0.314</v>
      </c>
      <c r="K13" s="15">
        <f>SLG(Table1[[#This Row],[H]],Table1[[#This Row],[2B]],Table1[[#This Row],[3B]],Table1[[#This Row],[HR]],Table1[[#This Row],[AB]])</f>
        <v>0.59799999999999998</v>
      </c>
    </row>
    <row r="14" spans="2:11">
      <c r="B14" s="12" t="s">
        <v>30</v>
      </c>
      <c r="C14" s="13">
        <v>482</v>
      </c>
      <c r="D14" s="13">
        <v>96</v>
      </c>
      <c r="E14" s="13">
        <v>150</v>
      </c>
      <c r="F14" s="13">
        <v>41</v>
      </c>
      <c r="G14" s="13">
        <v>3</v>
      </c>
      <c r="H14" s="13">
        <v>28</v>
      </c>
      <c r="I14" s="13">
        <v>109</v>
      </c>
      <c r="J14" s="14">
        <f>BA(Table1[[#This Row],[H]],Table1[[#This Row],[AB]])</f>
        <v>0.31120331950207469</v>
      </c>
      <c r="K14" s="15">
        <f>SLG(Table1[[#This Row],[H]],Table1[[#This Row],[2B]],Table1[[#This Row],[3B]],Table1[[#This Row],[HR]],Table1[[#This Row],[AB]])</f>
        <v>0.58298755186721996</v>
      </c>
    </row>
    <row r="15" spans="2:11">
      <c r="B15" s="12" t="s">
        <v>22</v>
      </c>
      <c r="C15" s="13">
        <v>547</v>
      </c>
      <c r="D15" s="13">
        <v>99</v>
      </c>
      <c r="E15" s="13">
        <v>174</v>
      </c>
      <c r="F15" s="13">
        <v>32</v>
      </c>
      <c r="G15" s="13">
        <v>1</v>
      </c>
      <c r="H15" s="13">
        <v>36</v>
      </c>
      <c r="I15" s="13">
        <v>103</v>
      </c>
      <c r="J15" s="14">
        <f>BA(Table1[[#This Row],[H]],Table1[[#This Row],[AB]])</f>
        <v>0.31809872029250458</v>
      </c>
      <c r="K15" s="15">
        <f>SLG(Table1[[#This Row],[H]],Table1[[#This Row],[2B]],Table1[[#This Row],[3B]],Table1[[#This Row],[HR]],Table1[[#This Row],[AB]])</f>
        <v>0.57769652650822667</v>
      </c>
    </row>
    <row r="16" spans="2:11">
      <c r="B16" s="12" t="s">
        <v>37</v>
      </c>
      <c r="C16" s="13">
        <v>518</v>
      </c>
      <c r="D16" s="13">
        <v>118</v>
      </c>
      <c r="E16" s="13">
        <v>158</v>
      </c>
      <c r="F16" s="13">
        <v>28</v>
      </c>
      <c r="G16" s="13">
        <v>8</v>
      </c>
      <c r="H16" s="13">
        <v>31</v>
      </c>
      <c r="I16" s="13">
        <v>93</v>
      </c>
      <c r="J16" s="14">
        <f>BA(Table1[[#This Row],[H]],Table1[[#This Row],[AB]])</f>
        <v>0.30501930501930502</v>
      </c>
      <c r="K16" s="15">
        <f>SLG(Table1[[#This Row],[H]],Table1[[#This Row],[2B]],Table1[[#This Row],[3B]],Table1[[#This Row],[HR]],Table1[[#This Row],[AB]])</f>
        <v>0.56949806949806947</v>
      </c>
    </row>
    <row r="17" spans="2:11">
      <c r="B17" s="12" t="s">
        <v>24</v>
      </c>
      <c r="C17" s="13">
        <v>544</v>
      </c>
      <c r="D17" s="13">
        <v>104</v>
      </c>
      <c r="E17" s="13">
        <v>172</v>
      </c>
      <c r="F17" s="13">
        <v>40</v>
      </c>
      <c r="G17" s="13">
        <v>3</v>
      </c>
      <c r="H17" s="13">
        <v>30</v>
      </c>
      <c r="I17" s="13">
        <v>106</v>
      </c>
      <c r="J17" s="14">
        <f>BA(Table1[[#This Row],[H]],Table1[[#This Row],[AB]])</f>
        <v>0.31617647058823528</v>
      </c>
      <c r="K17" s="15">
        <f>SLG(Table1[[#This Row],[H]],Table1[[#This Row],[2B]],Table1[[#This Row],[3B]],Table1[[#This Row],[HR]],Table1[[#This Row],[AB]])</f>
        <v>0.56617647058823528</v>
      </c>
    </row>
    <row r="18" spans="2:11">
      <c r="B18" s="12" t="s">
        <v>12</v>
      </c>
      <c r="C18" s="13">
        <v>550</v>
      </c>
      <c r="D18" s="13">
        <v>111</v>
      </c>
      <c r="E18" s="13">
        <v>187</v>
      </c>
      <c r="F18" s="13">
        <v>41</v>
      </c>
      <c r="G18" s="13">
        <v>0</v>
      </c>
      <c r="H18" s="13">
        <v>27</v>
      </c>
      <c r="I18" s="13">
        <v>104</v>
      </c>
      <c r="J18" s="14">
        <f>BA(Table1[[#This Row],[H]],Table1[[#This Row],[AB]])</f>
        <v>0.34</v>
      </c>
      <c r="K18" s="15">
        <f>SLG(Table1[[#This Row],[H]],Table1[[#This Row],[2B]],Table1[[#This Row],[3B]],Table1[[#This Row],[HR]],Table1[[#This Row],[AB]])</f>
        <v>0.56181818181818177</v>
      </c>
    </row>
    <row r="19" spans="2:11">
      <c r="B19" s="12" t="s">
        <v>32</v>
      </c>
      <c r="C19" s="13">
        <v>487</v>
      </c>
      <c r="D19" s="13">
        <v>94</v>
      </c>
      <c r="E19" s="13">
        <v>151</v>
      </c>
      <c r="F19" s="13">
        <v>38</v>
      </c>
      <c r="G19" s="13">
        <v>2</v>
      </c>
      <c r="H19" s="13">
        <v>24</v>
      </c>
      <c r="I19" s="13">
        <v>69</v>
      </c>
      <c r="J19" s="14">
        <f>BA(Table1[[#This Row],[H]],Table1[[#This Row],[AB]])</f>
        <v>0.31006160164271046</v>
      </c>
      <c r="K19" s="15">
        <f>SLG(Table1[[#This Row],[H]],Table1[[#This Row],[2B]],Table1[[#This Row],[3B]],Table1[[#This Row],[HR]],Table1[[#This Row],[AB]])</f>
        <v>0.54414784394250515</v>
      </c>
    </row>
    <row r="20" spans="2:11">
      <c r="B20" s="12" t="s">
        <v>41</v>
      </c>
      <c r="C20" s="13">
        <v>574</v>
      </c>
      <c r="D20" s="13">
        <v>118</v>
      </c>
      <c r="E20" s="13">
        <v>173</v>
      </c>
      <c r="F20" s="13">
        <v>47</v>
      </c>
      <c r="G20" s="13">
        <v>1</v>
      </c>
      <c r="H20" s="13">
        <v>30</v>
      </c>
      <c r="I20" s="13">
        <v>105</v>
      </c>
      <c r="J20" s="14">
        <f>BA(Table1[[#This Row],[H]],Table1[[#This Row],[AB]])</f>
        <v>0.30139372822299654</v>
      </c>
      <c r="K20" s="15">
        <f>SLG(Table1[[#This Row],[H]],Table1[[#This Row],[2B]],Table1[[#This Row],[3B]],Table1[[#This Row],[HR]],Table1[[#This Row],[AB]])</f>
        <v>0.54355400696864109</v>
      </c>
    </row>
    <row r="21" spans="2:11">
      <c r="B21" s="12" t="s">
        <v>23</v>
      </c>
      <c r="C21" s="13">
        <v>522</v>
      </c>
      <c r="D21" s="13">
        <v>97</v>
      </c>
      <c r="E21" s="13">
        <v>166</v>
      </c>
      <c r="F21" s="13">
        <v>37</v>
      </c>
      <c r="G21" s="13">
        <v>10</v>
      </c>
      <c r="H21" s="13">
        <v>20</v>
      </c>
      <c r="I21" s="13">
        <v>97</v>
      </c>
      <c r="J21" s="14">
        <f>BA(Table1[[#This Row],[H]],Table1[[#This Row],[AB]])</f>
        <v>0.31800766283524906</v>
      </c>
      <c r="K21" s="15">
        <f>SLG(Table1[[#This Row],[H]],Table1[[#This Row],[2B]],Table1[[#This Row],[3B]],Table1[[#This Row],[HR]],Table1[[#This Row],[AB]])</f>
        <v>0.54214559386973182</v>
      </c>
    </row>
    <row r="22" spans="2:11">
      <c r="B22" s="12" t="s">
        <v>31</v>
      </c>
      <c r="C22" s="13">
        <v>653</v>
      </c>
      <c r="D22" s="13">
        <v>107</v>
      </c>
      <c r="E22" s="13">
        <v>203</v>
      </c>
      <c r="F22" s="13">
        <v>40</v>
      </c>
      <c r="G22" s="13">
        <v>2</v>
      </c>
      <c r="H22" s="13">
        <v>34</v>
      </c>
      <c r="I22" s="13">
        <v>150</v>
      </c>
      <c r="J22" s="14">
        <f>BA(Table1[[#This Row],[H]],Table1[[#This Row],[AB]])</f>
        <v>0.3108728943338438</v>
      </c>
      <c r="K22" s="15">
        <f>SLG(Table1[[#This Row],[H]],Table1[[#This Row],[2B]],Table1[[#This Row],[3B]],Table1[[#This Row],[HR]],Table1[[#This Row],[AB]])</f>
        <v>0.53445635528330782</v>
      </c>
    </row>
    <row r="23" spans="2:11">
      <c r="B23" s="12" t="s">
        <v>19</v>
      </c>
      <c r="C23" s="13">
        <v>571</v>
      </c>
      <c r="D23" s="13">
        <v>101</v>
      </c>
      <c r="E23" s="13">
        <v>185</v>
      </c>
      <c r="F23" s="13">
        <v>44</v>
      </c>
      <c r="G23" s="13">
        <v>2</v>
      </c>
      <c r="H23" s="13">
        <v>24</v>
      </c>
      <c r="I23" s="13">
        <v>99</v>
      </c>
      <c r="J23" s="14">
        <f>BA(Table1[[#This Row],[H]],Table1[[#This Row],[AB]])</f>
        <v>0.32399299474605953</v>
      </c>
      <c r="K23" s="15">
        <f>SLG(Table1[[#This Row],[H]],Table1[[#This Row],[2B]],Table1[[#This Row],[3B]],Table1[[#This Row],[HR]],Table1[[#This Row],[AB]])</f>
        <v>0.53415061295971977</v>
      </c>
    </row>
    <row r="24" spans="2:11">
      <c r="B24" s="12" t="s">
        <v>38</v>
      </c>
      <c r="C24" s="13">
        <v>591</v>
      </c>
      <c r="D24" s="13">
        <v>103</v>
      </c>
      <c r="E24" s="13">
        <v>180</v>
      </c>
      <c r="F24" s="13">
        <v>37</v>
      </c>
      <c r="G24" s="13">
        <v>0</v>
      </c>
      <c r="H24" s="13">
        <v>31</v>
      </c>
      <c r="I24" s="13">
        <v>99</v>
      </c>
      <c r="J24" s="14">
        <f>BA(Table1[[#This Row],[H]],Table1[[#This Row],[AB]])</f>
        <v>0.30456852791878175</v>
      </c>
      <c r="K24" s="15">
        <f>SLG(Table1[[#This Row],[H]],Table1[[#This Row],[2B]],Table1[[#This Row],[3B]],Table1[[#This Row],[HR]],Table1[[#This Row],[AB]])</f>
        <v>0.52453468697123518</v>
      </c>
    </row>
    <row r="25" spans="2:11">
      <c r="B25" s="12" t="s">
        <v>20</v>
      </c>
      <c r="C25" s="13">
        <v>511</v>
      </c>
      <c r="D25" s="13">
        <v>80</v>
      </c>
      <c r="E25" s="13">
        <v>164</v>
      </c>
      <c r="F25" s="13">
        <v>35</v>
      </c>
      <c r="G25" s="13">
        <v>1</v>
      </c>
      <c r="H25" s="13">
        <v>22</v>
      </c>
      <c r="I25" s="13">
        <v>88</v>
      </c>
      <c r="J25" s="14">
        <f>BA(Table1[[#This Row],[H]],Table1[[#This Row],[AB]])</f>
        <v>0.32093933463796476</v>
      </c>
      <c r="K25" s="15">
        <f>SLG(Table1[[#This Row],[H]],Table1[[#This Row],[2B]],Table1[[#This Row],[3B]],Table1[[#This Row],[HR]],Table1[[#This Row],[AB]])</f>
        <v>0.52250489236790609</v>
      </c>
    </row>
    <row r="26" spans="2:11">
      <c r="B26" s="12" t="s">
        <v>48</v>
      </c>
      <c r="C26" s="13">
        <v>584</v>
      </c>
      <c r="D26" s="13">
        <v>109</v>
      </c>
      <c r="E26" s="13">
        <v>174</v>
      </c>
      <c r="F26" s="13">
        <v>34</v>
      </c>
      <c r="G26" s="13">
        <v>2</v>
      </c>
      <c r="H26" s="13">
        <v>31</v>
      </c>
      <c r="I26" s="13">
        <v>108</v>
      </c>
      <c r="J26" s="14">
        <f>BA(Table1[[#This Row],[H]],Table1[[#This Row],[AB]])</f>
        <v>0.29794520547945208</v>
      </c>
      <c r="K26" s="15">
        <f>SLG(Table1[[#This Row],[H]],Table1[[#This Row],[2B]],Table1[[#This Row],[3B]],Table1[[#This Row],[HR]],Table1[[#This Row],[AB]])</f>
        <v>0.52226027397260277</v>
      </c>
    </row>
    <row r="27" spans="2:11">
      <c r="B27" s="12" t="s">
        <v>16</v>
      </c>
      <c r="C27" s="13">
        <v>527</v>
      </c>
      <c r="D27" s="13">
        <v>72</v>
      </c>
      <c r="E27" s="13">
        <v>176</v>
      </c>
      <c r="F27" s="13">
        <v>32</v>
      </c>
      <c r="G27" s="13">
        <v>2</v>
      </c>
      <c r="H27" s="13">
        <v>19</v>
      </c>
      <c r="I27" s="13">
        <v>86</v>
      </c>
      <c r="J27" s="14">
        <f>BA(Table1[[#This Row],[H]],Table1[[#This Row],[AB]])</f>
        <v>0.33396584440227706</v>
      </c>
      <c r="K27" s="15">
        <f>SLG(Table1[[#This Row],[H]],Table1[[#This Row],[2B]],Table1[[#This Row],[3B]],Table1[[#This Row],[HR]],Table1[[#This Row],[AB]])</f>
        <v>0.5104364326375711</v>
      </c>
    </row>
    <row r="28" spans="2:11">
      <c r="B28" s="12" t="s">
        <v>25</v>
      </c>
      <c r="C28" s="13">
        <v>579</v>
      </c>
      <c r="D28" s="13">
        <v>83</v>
      </c>
      <c r="E28" s="13">
        <v>183</v>
      </c>
      <c r="F28" s="13">
        <v>33</v>
      </c>
      <c r="G28" s="13">
        <v>3</v>
      </c>
      <c r="H28" s="13">
        <v>23</v>
      </c>
      <c r="I28" s="13">
        <v>86</v>
      </c>
      <c r="J28" s="14">
        <f>BA(Table1[[#This Row],[H]],Table1[[#This Row],[AB]])</f>
        <v>0.31606217616580312</v>
      </c>
      <c r="K28" s="15">
        <f>SLG(Table1[[#This Row],[H]],Table1[[#This Row],[2B]],Table1[[#This Row],[3B]],Table1[[#This Row],[HR]],Table1[[#This Row],[AB]])</f>
        <v>0.50259067357512954</v>
      </c>
    </row>
    <row r="29" spans="2:11">
      <c r="B29" s="12" t="s">
        <v>14</v>
      </c>
      <c r="C29" s="13">
        <v>620</v>
      </c>
      <c r="D29" s="13">
        <v>108</v>
      </c>
      <c r="E29" s="13">
        <v>208</v>
      </c>
      <c r="F29" s="13">
        <v>47</v>
      </c>
      <c r="G29" s="13">
        <v>2</v>
      </c>
      <c r="H29" s="13">
        <v>16</v>
      </c>
      <c r="I29" s="13">
        <v>76</v>
      </c>
      <c r="J29" s="14">
        <f>BA(Table1[[#This Row],[H]],Table1[[#This Row],[AB]])</f>
        <v>0.33548387096774196</v>
      </c>
      <c r="K29" s="15">
        <f>SLG(Table1[[#This Row],[H]],Table1[[#This Row],[2B]],Table1[[#This Row],[3B]],Table1[[#This Row],[HR]],Table1[[#This Row],[AB]])</f>
        <v>0.49516129032258066</v>
      </c>
    </row>
    <row r="30" spans="2:11">
      <c r="B30" s="12" t="s">
        <v>29</v>
      </c>
      <c r="C30" s="13">
        <v>690</v>
      </c>
      <c r="D30" s="13">
        <v>114</v>
      </c>
      <c r="E30" s="13">
        <v>216</v>
      </c>
      <c r="F30" s="13">
        <v>33</v>
      </c>
      <c r="G30" s="13">
        <v>9</v>
      </c>
      <c r="H30" s="13">
        <v>22</v>
      </c>
      <c r="I30" s="13">
        <v>99</v>
      </c>
      <c r="J30" s="14">
        <f>BA(Table1[[#This Row],[H]],Table1[[#This Row],[AB]])</f>
        <v>0.31304347826086959</v>
      </c>
      <c r="K30" s="15">
        <f>SLG(Table1[[#This Row],[H]],Table1[[#This Row],[2B]],Table1[[#This Row],[3B]],Table1[[#This Row],[HR]],Table1[[#This Row],[AB]])</f>
        <v>0.4826086956521739</v>
      </c>
    </row>
    <row r="31" spans="2:11">
      <c r="B31" s="12" t="s">
        <v>44</v>
      </c>
      <c r="C31" s="13">
        <v>579</v>
      </c>
      <c r="D31" s="13">
        <v>83</v>
      </c>
      <c r="E31" s="13">
        <v>174</v>
      </c>
      <c r="F31" s="13">
        <v>53</v>
      </c>
      <c r="G31" s="13">
        <v>1</v>
      </c>
      <c r="H31" s="13">
        <v>16</v>
      </c>
      <c r="I31" s="13">
        <v>87</v>
      </c>
      <c r="J31" s="14">
        <f>BA(Table1[[#This Row],[H]],Table1[[#This Row],[AB]])</f>
        <v>0.30051813471502592</v>
      </c>
      <c r="K31" s="15">
        <f>SLG(Table1[[#This Row],[H]],Table1[[#This Row],[2B]],Table1[[#This Row],[3B]],Table1[[#This Row],[HR]],Table1[[#This Row],[AB]])</f>
        <v>0.47841105354058722</v>
      </c>
    </row>
    <row r="32" spans="2:11">
      <c r="B32" s="12" t="s">
        <v>39</v>
      </c>
      <c r="C32" s="13">
        <v>621</v>
      </c>
      <c r="D32" s="13">
        <v>123</v>
      </c>
      <c r="E32" s="13">
        <v>189</v>
      </c>
      <c r="F32" s="13">
        <v>35</v>
      </c>
      <c r="G32" s="13">
        <v>6</v>
      </c>
      <c r="H32" s="13">
        <v>20</v>
      </c>
      <c r="I32" s="13">
        <v>94</v>
      </c>
      <c r="J32" s="14">
        <f>BA(Table1[[#This Row],[H]],Table1[[#This Row],[AB]])</f>
        <v>0.30434782608695654</v>
      </c>
      <c r="K32" s="15">
        <f>SLG(Table1[[#This Row],[H]],Table1[[#This Row],[2B]],Table1[[#This Row],[3B]],Table1[[#This Row],[HR]],Table1[[#This Row],[AB]])</f>
        <v>0.47665056360708535</v>
      </c>
    </row>
    <row r="33" spans="2:11">
      <c r="B33" s="12" t="s">
        <v>40</v>
      </c>
      <c r="C33" s="13">
        <v>481</v>
      </c>
      <c r="D33" s="13">
        <v>67</v>
      </c>
      <c r="E33" s="13">
        <v>146</v>
      </c>
      <c r="F33" s="13">
        <v>31</v>
      </c>
      <c r="G33" s="13">
        <v>1</v>
      </c>
      <c r="H33" s="13">
        <v>16</v>
      </c>
      <c r="I33" s="13">
        <v>62</v>
      </c>
      <c r="J33" s="14">
        <f>BA(Table1[[#This Row],[H]],Table1[[#This Row],[AB]])</f>
        <v>0.30353430353430355</v>
      </c>
      <c r="K33" s="15">
        <f>SLG(Table1[[#This Row],[H]],Table1[[#This Row],[2B]],Table1[[#This Row],[3B]],Table1[[#This Row],[HR]],Table1[[#This Row],[AB]])</f>
        <v>0.47193347193347196</v>
      </c>
    </row>
    <row r="34" spans="2:11">
      <c r="B34" s="12" t="s">
        <v>33</v>
      </c>
      <c r="C34" s="13">
        <v>562</v>
      </c>
      <c r="D34" s="13">
        <v>68</v>
      </c>
      <c r="E34" s="13">
        <v>174</v>
      </c>
      <c r="F34" s="13">
        <v>36</v>
      </c>
      <c r="G34" s="13">
        <v>3</v>
      </c>
      <c r="H34" s="13">
        <v>15</v>
      </c>
      <c r="I34" s="13">
        <v>80</v>
      </c>
      <c r="J34" s="14">
        <f>BA(Table1[[#This Row],[H]],Table1[[#This Row],[AB]])</f>
        <v>0.30960854092526691</v>
      </c>
      <c r="K34" s="15">
        <f>SLG(Table1[[#This Row],[H]],Table1[[#This Row],[2B]],Table1[[#This Row],[3B]],Table1[[#This Row],[HR]],Table1[[#This Row],[AB]])</f>
        <v>0.46441281138790036</v>
      </c>
    </row>
    <row r="35" spans="2:11">
      <c r="B35" s="12" t="s">
        <v>28</v>
      </c>
      <c r="C35" s="13">
        <v>606</v>
      </c>
      <c r="D35" s="13">
        <v>78</v>
      </c>
      <c r="E35" s="13">
        <v>190</v>
      </c>
      <c r="F35" s="13">
        <v>37</v>
      </c>
      <c r="G35" s="13">
        <v>3</v>
      </c>
      <c r="H35" s="13">
        <v>15</v>
      </c>
      <c r="I35" s="13">
        <v>63</v>
      </c>
      <c r="J35" s="14">
        <f>BA(Table1[[#This Row],[H]],Table1[[#This Row],[AB]])</f>
        <v>0.31353135313531355</v>
      </c>
      <c r="K35" s="15">
        <f>SLG(Table1[[#This Row],[H]],Table1[[#This Row],[2B]],Table1[[#This Row],[3B]],Table1[[#This Row],[HR]],Table1[[#This Row],[AB]])</f>
        <v>0.45874587458745875</v>
      </c>
    </row>
    <row r="36" spans="2:11">
      <c r="B36" s="12" t="s">
        <v>34</v>
      </c>
      <c r="C36" s="13">
        <v>652</v>
      </c>
      <c r="D36" s="13">
        <v>82</v>
      </c>
      <c r="E36" s="13">
        <v>201</v>
      </c>
      <c r="F36" s="13">
        <v>41</v>
      </c>
      <c r="G36" s="13">
        <v>12</v>
      </c>
      <c r="H36" s="13">
        <v>11</v>
      </c>
      <c r="I36" s="13">
        <v>59</v>
      </c>
      <c r="J36" s="14">
        <f>BA(Table1[[#This Row],[H]],Table1[[#This Row],[AB]])</f>
        <v>0.30828220858895705</v>
      </c>
      <c r="K36" s="15">
        <f>SLG(Table1[[#This Row],[H]],Table1[[#This Row],[2B]],Table1[[#This Row],[3B]],Table1[[#This Row],[HR]],Table1[[#This Row],[AB]])</f>
        <v>0.45858895705521474</v>
      </c>
    </row>
    <row r="37" spans="2:11">
      <c r="B37" s="12" t="s">
        <v>9</v>
      </c>
      <c r="C37" s="13">
        <v>704</v>
      </c>
      <c r="D37" s="13">
        <v>101</v>
      </c>
      <c r="E37" s="13">
        <v>262</v>
      </c>
      <c r="F37" s="13">
        <v>24</v>
      </c>
      <c r="G37" s="13">
        <v>5</v>
      </c>
      <c r="H37" s="13">
        <v>8</v>
      </c>
      <c r="I37" s="13">
        <v>60</v>
      </c>
      <c r="J37" s="14">
        <f>BA(Table1[[#This Row],[H]],Table1[[#This Row],[AB]])</f>
        <v>0.37215909090909088</v>
      </c>
      <c r="K37" s="15">
        <f>SLG(Table1[[#This Row],[H]],Table1[[#This Row],[2B]],Table1[[#This Row],[3B]],Table1[[#This Row],[HR]],Table1[[#This Row],[AB]])</f>
        <v>0.45454545454545453</v>
      </c>
    </row>
    <row r="38" spans="2:11">
      <c r="B38" s="12" t="s">
        <v>27</v>
      </c>
      <c r="C38" s="13">
        <v>462</v>
      </c>
      <c r="D38" s="13">
        <v>56</v>
      </c>
      <c r="E38" s="13">
        <v>145</v>
      </c>
      <c r="F38" s="13">
        <v>36</v>
      </c>
      <c r="G38" s="13">
        <v>0</v>
      </c>
      <c r="H38" s="13">
        <v>9</v>
      </c>
      <c r="I38" s="13">
        <v>76</v>
      </c>
      <c r="J38" s="14">
        <f>BA(Table1[[#This Row],[H]],Table1[[#This Row],[AB]])</f>
        <v>0.31385281385281383</v>
      </c>
      <c r="K38" s="15">
        <f>SLG(Table1[[#This Row],[H]],Table1[[#This Row],[2B]],Table1[[#This Row],[3B]],Table1[[#This Row],[HR]],Table1[[#This Row],[AB]])</f>
        <v>0.45021645021645024</v>
      </c>
    </row>
    <row r="39" spans="2:11">
      <c r="B39" s="12" t="s">
        <v>45</v>
      </c>
      <c r="C39" s="13">
        <v>569</v>
      </c>
      <c r="D39" s="13">
        <v>89</v>
      </c>
      <c r="E39" s="13">
        <v>170</v>
      </c>
      <c r="F39" s="13">
        <v>31</v>
      </c>
      <c r="G39" s="13">
        <v>4</v>
      </c>
      <c r="H39" s="13">
        <v>15</v>
      </c>
      <c r="I39" s="13">
        <v>72</v>
      </c>
      <c r="J39" s="14">
        <f>BA(Table1[[#This Row],[H]],Table1[[#This Row],[AB]])</f>
        <v>0.29876977152899825</v>
      </c>
      <c r="K39" s="15">
        <f>SLG(Table1[[#This Row],[H]],Table1[[#This Row],[2B]],Table1[[#This Row],[3B]],Table1[[#This Row],[HR]],Table1[[#This Row],[AB]])</f>
        <v>0.44639718804920914</v>
      </c>
    </row>
    <row r="40" spans="2:11">
      <c r="B40" s="12" t="s">
        <v>47</v>
      </c>
      <c r="C40" s="13">
        <v>503</v>
      </c>
      <c r="D40" s="13">
        <v>74</v>
      </c>
      <c r="E40" s="13">
        <v>150</v>
      </c>
      <c r="F40" s="13">
        <v>21</v>
      </c>
      <c r="G40" s="13">
        <v>0</v>
      </c>
      <c r="H40" s="13">
        <v>17</v>
      </c>
      <c r="I40" s="13">
        <v>55</v>
      </c>
      <c r="J40" s="14">
        <f>BA(Table1[[#This Row],[H]],Table1[[#This Row],[AB]])</f>
        <v>0.29821073558648109</v>
      </c>
      <c r="K40" s="15">
        <f>SLG(Table1[[#This Row],[H]],Table1[[#This Row],[2B]],Table1[[#This Row],[3B]],Table1[[#This Row],[HR]],Table1[[#This Row],[AB]])</f>
        <v>0.44135188866799202</v>
      </c>
    </row>
    <row r="41" spans="2:11">
      <c r="B41" s="12" t="s">
        <v>18</v>
      </c>
      <c r="C41" s="13">
        <v>678</v>
      </c>
      <c r="D41" s="13">
        <v>100</v>
      </c>
      <c r="E41" s="13">
        <v>221</v>
      </c>
      <c r="F41" s="13">
        <v>22</v>
      </c>
      <c r="G41" s="13">
        <v>12</v>
      </c>
      <c r="H41" s="13">
        <v>3</v>
      </c>
      <c r="I41" s="13">
        <v>49</v>
      </c>
      <c r="J41" s="14">
        <f>BA(Table1[[#This Row],[H]],Table1[[#This Row],[AB]])</f>
        <v>0.32595870206489674</v>
      </c>
      <c r="K41" s="15">
        <f>SLG(Table1[[#This Row],[H]],Table1[[#This Row],[2B]],Table1[[#This Row],[3B]],Table1[[#This Row],[HR]],Table1[[#This Row],[AB]])</f>
        <v>0.40707964601769914</v>
      </c>
    </row>
    <row r="42" spans="2:11">
      <c r="B42" s="12" t="s">
        <v>21</v>
      </c>
      <c r="C42" s="13">
        <v>574</v>
      </c>
      <c r="D42" s="13">
        <v>86</v>
      </c>
      <c r="E42" s="13">
        <v>183</v>
      </c>
      <c r="F42" s="13">
        <v>32</v>
      </c>
      <c r="G42" s="13">
        <v>0</v>
      </c>
      <c r="H42" s="13">
        <v>3</v>
      </c>
      <c r="I42" s="13">
        <v>51</v>
      </c>
      <c r="J42" s="14">
        <f>BA(Table1[[#This Row],[H]],Table1[[#This Row],[AB]])</f>
        <v>0.31881533101045295</v>
      </c>
      <c r="K42" s="15">
        <f>SLG(Table1[[#This Row],[H]],Table1[[#This Row],[2B]],Table1[[#This Row],[3B]],Table1[[#This Row],[HR]],Table1[[#This Row],[AB]])</f>
        <v>0.3902439024390244</v>
      </c>
    </row>
    <row r="43" spans="2:11">
      <c r="B43" s="12" t="s">
        <v>36</v>
      </c>
      <c r="C43" s="13">
        <v>553</v>
      </c>
      <c r="D43" s="13">
        <v>91</v>
      </c>
      <c r="E43" s="13">
        <v>170</v>
      </c>
      <c r="F43" s="13">
        <v>22</v>
      </c>
      <c r="G43" s="13">
        <v>3</v>
      </c>
      <c r="H43" s="13">
        <v>5</v>
      </c>
      <c r="I43" s="13">
        <v>38</v>
      </c>
      <c r="J43" s="14">
        <f>BA(Table1[[#This Row],[H]],Table1[[#This Row],[AB]])</f>
        <v>0.30741410488245929</v>
      </c>
      <c r="K43" s="15">
        <f>SLG(Table1[[#This Row],[H]],Table1[[#This Row],[2B]],Table1[[#This Row],[3B]],Table1[[#This Row],[HR]],Table1[[#This Row],[AB]])</f>
        <v>0.38517179023508136</v>
      </c>
    </row>
    <row r="44" spans="2:11">
      <c r="B44" s="16" t="s">
        <v>46</v>
      </c>
      <c r="C44" s="17">
        <v>523</v>
      </c>
      <c r="D44" s="17">
        <v>76</v>
      </c>
      <c r="E44" s="17">
        <v>156</v>
      </c>
      <c r="F44" s="17">
        <v>23</v>
      </c>
      <c r="G44" s="17">
        <v>3</v>
      </c>
      <c r="H44" s="17">
        <v>2</v>
      </c>
      <c r="I44" s="17">
        <v>47</v>
      </c>
      <c r="J44" s="18">
        <f>BA(Table1[[#This Row],[H]],Table1[[#This Row],[AB]])</f>
        <v>0.29827915869980881</v>
      </c>
      <c r="K44" s="19">
        <f>SLG(Table1[[#This Row],[H]],Table1[[#This Row],[2B]],Table1[[#This Row],[3B]],Table1[[#This Row],[HR]],Table1[[#This Row],[AB]])</f>
        <v>0.36520076481835562</v>
      </c>
    </row>
  </sheetData>
  <mergeCells count="1">
    <mergeCell ref="B1:K1"/>
  </mergeCells>
  <phoneticPr fontId="1" type="noConversion"/>
  <pageMargins left="0.25" right="0.25" top="0.75" bottom="0.75" header="0.3" footer="0.3"/>
  <pageSetup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Documentation</vt:lpstr>
      <vt:lpstr>Stats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Carey</dc:creator>
  <cp:lastModifiedBy>Ryan Stearns</cp:lastModifiedBy>
  <cp:lastPrinted>2010-12-01T15:36:03Z</cp:lastPrinted>
  <dcterms:created xsi:type="dcterms:W3CDTF">2004-10-31T20:36:30Z</dcterms:created>
  <dcterms:modified xsi:type="dcterms:W3CDTF">2010-12-01T15:51:54Z</dcterms:modified>
</cp:coreProperties>
</file>