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20" yWindow="30" windowWidth="15255" windowHeight="8160"/>
  </bookViews>
  <sheets>
    <sheet name="Documentation" sheetId="5" r:id="rId1"/>
    <sheet name="QC Chart" sheetId="4" r:id="rId2"/>
    <sheet name="QC Data" sheetId="1" r:id="rId3"/>
  </sheets>
  <definedNames>
    <definedName name="ConscDiff">'QC Data'!$C$2:$C$26</definedName>
    <definedName name="LCL">'QC Data'!$D$2:$D$27</definedName>
    <definedName name="Obs">'QC Data'!$A$2:$A$27</definedName>
    <definedName name="Strength">'QC Data'!$B$2:$B$27</definedName>
    <definedName name="UCL">'QC Data'!$E$2:$E$27</definedName>
  </definedNames>
  <calcPr calcId="124519"/>
</workbook>
</file>

<file path=xl/calcChain.xml><?xml version="1.0" encoding="utf-8"?>
<calcChain xmlns="http://schemas.openxmlformats.org/spreadsheetml/2006/main">
  <c r="C4" i="1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3"/>
  <c r="D27" l="1"/>
  <c r="D25"/>
  <c r="D23"/>
  <c r="D21"/>
  <c r="D19"/>
  <c r="D17"/>
  <c r="D15"/>
  <c r="D13"/>
  <c r="D11"/>
  <c r="D9"/>
  <c r="D7"/>
  <c r="D5"/>
  <c r="E3"/>
  <c r="E26"/>
  <c r="E24"/>
  <c r="E22"/>
  <c r="E20"/>
  <c r="E18"/>
  <c r="E16"/>
  <c r="E14"/>
  <c r="E12"/>
  <c r="E10"/>
  <c r="E8"/>
  <c r="E6"/>
  <c r="E4"/>
  <c r="D3"/>
  <c r="D26"/>
  <c r="D24"/>
  <c r="D22"/>
  <c r="D20"/>
  <c r="D18"/>
  <c r="D16"/>
  <c r="D14"/>
  <c r="D12"/>
  <c r="D10"/>
  <c r="D8"/>
  <c r="D6"/>
  <c r="D4"/>
  <c r="E27"/>
  <c r="E25"/>
  <c r="E23"/>
  <c r="E21"/>
  <c r="E19"/>
  <c r="E17"/>
  <c r="E15"/>
  <c r="E13"/>
  <c r="E11"/>
  <c r="E9"/>
  <c r="E7"/>
  <c r="E5"/>
</calcChain>
</file>

<file path=xl/sharedStrings.xml><?xml version="1.0" encoding="utf-8"?>
<sst xmlns="http://schemas.openxmlformats.org/spreadsheetml/2006/main" count="10" uniqueCount="10">
  <si>
    <t>Obs</t>
  </si>
  <si>
    <t>Strength</t>
  </si>
  <si>
    <t>LCL</t>
  </si>
  <si>
    <t>Differences</t>
  </si>
  <si>
    <t>UCL</t>
  </si>
  <si>
    <t>Steel Crafters</t>
  </si>
  <si>
    <t>Author</t>
  </si>
  <si>
    <t>Date</t>
  </si>
  <si>
    <t>Purpose</t>
  </si>
  <si>
    <t>To automate the process of entering new quality control data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</si>
</sst>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64" fontId="0" fillId="0" borderId="0" xfId="0" applyNumberFormat="1"/>
    <xf numFmtId="0" fontId="1" fillId="2" borderId="0" xfId="1" applyFill="1"/>
    <xf numFmtId="0" fontId="0" fillId="2" borderId="0" xfId="0" applyFill="1"/>
    <xf numFmtId="0" fontId="2" fillId="2" borderId="0" xfId="0" applyFont="1" applyFill="1"/>
    <xf numFmtId="0" fontId="0" fillId="2" borderId="1" xfId="0" applyFill="1" applyBorder="1"/>
    <xf numFmtId="14" fontId="0" fillId="2" borderId="1" xfId="0" applyNumberFormat="1" applyFill="1" applyBorder="1"/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Quality Control Chart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'QC Data'!$B$1</c:f>
              <c:strCache>
                <c:ptCount val="1"/>
                <c:pt idx="0">
                  <c:v>Strength</c:v>
                </c:pt>
              </c:strCache>
            </c:strRef>
          </c:tx>
          <c:xVal>
            <c:numRef>
              <c:f>'QC Data'!$A$2:$A$27</c:f>
              <c:numCache>
                <c:formatCode>General</c:formatCode>
                <c:ptCount val="26"/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</c:numCache>
            </c:numRef>
          </c:xVal>
          <c:yVal>
            <c:numRef>
              <c:f>'QC Data'!$B$2:$B$27</c:f>
              <c:numCache>
                <c:formatCode>0.0</c:formatCode>
                <c:ptCount val="26"/>
                <c:pt idx="1">
                  <c:v>57.5</c:v>
                </c:pt>
                <c:pt idx="2">
                  <c:v>57.5</c:v>
                </c:pt>
                <c:pt idx="3">
                  <c:v>56</c:v>
                </c:pt>
                <c:pt idx="4">
                  <c:v>56</c:v>
                </c:pt>
                <c:pt idx="5">
                  <c:v>56</c:v>
                </c:pt>
                <c:pt idx="6">
                  <c:v>55</c:v>
                </c:pt>
                <c:pt idx="7">
                  <c:v>56</c:v>
                </c:pt>
                <c:pt idx="8">
                  <c:v>56</c:v>
                </c:pt>
                <c:pt idx="9">
                  <c:v>53.5</c:v>
                </c:pt>
                <c:pt idx="10">
                  <c:v>50.5</c:v>
                </c:pt>
                <c:pt idx="11">
                  <c:v>52.5</c:v>
                </c:pt>
                <c:pt idx="12">
                  <c:v>56</c:v>
                </c:pt>
                <c:pt idx="13">
                  <c:v>57.5</c:v>
                </c:pt>
                <c:pt idx="14">
                  <c:v>55</c:v>
                </c:pt>
                <c:pt idx="15">
                  <c:v>53</c:v>
                </c:pt>
                <c:pt idx="16">
                  <c:v>58.5</c:v>
                </c:pt>
                <c:pt idx="17">
                  <c:v>53</c:v>
                </c:pt>
                <c:pt idx="18">
                  <c:v>57.5</c:v>
                </c:pt>
                <c:pt idx="19">
                  <c:v>55</c:v>
                </c:pt>
                <c:pt idx="20">
                  <c:v>50</c:v>
                </c:pt>
                <c:pt idx="21">
                  <c:v>57</c:v>
                </c:pt>
                <c:pt idx="22">
                  <c:v>58</c:v>
                </c:pt>
                <c:pt idx="23">
                  <c:v>54.5</c:v>
                </c:pt>
                <c:pt idx="24">
                  <c:v>55.5</c:v>
                </c:pt>
                <c:pt idx="25">
                  <c:v>52.5</c:v>
                </c:pt>
              </c:numCache>
            </c:numRef>
          </c:yVal>
        </c:ser>
        <c:ser>
          <c:idx val="1"/>
          <c:order val="1"/>
          <c:tx>
            <c:strRef>
              <c:f>'QC Data'!$D$1</c:f>
              <c:strCache>
                <c:ptCount val="1"/>
                <c:pt idx="0">
                  <c:v>LCL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'QC Data'!$A$2:$A$27</c:f>
              <c:numCache>
                <c:formatCode>General</c:formatCode>
                <c:ptCount val="26"/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</c:numCache>
            </c:numRef>
          </c:xVal>
          <c:yVal>
            <c:numRef>
              <c:f>'QC Data'!$D$2:$D$27</c:f>
              <c:numCache>
                <c:formatCode>General</c:formatCode>
                <c:ptCount val="26"/>
                <c:pt idx="1">
                  <c:v>48.641879432624116</c:v>
                </c:pt>
                <c:pt idx="2">
                  <c:v>48.641879432624116</c:v>
                </c:pt>
                <c:pt idx="3">
                  <c:v>48.641879432624116</c:v>
                </c:pt>
                <c:pt idx="4">
                  <c:v>48.641879432624116</c:v>
                </c:pt>
                <c:pt idx="5">
                  <c:v>48.641879432624116</c:v>
                </c:pt>
                <c:pt idx="6">
                  <c:v>48.641879432624116</c:v>
                </c:pt>
                <c:pt idx="7">
                  <c:v>48.641879432624116</c:v>
                </c:pt>
                <c:pt idx="8">
                  <c:v>48.641879432624116</c:v>
                </c:pt>
                <c:pt idx="9">
                  <c:v>48.641879432624116</c:v>
                </c:pt>
                <c:pt idx="10">
                  <c:v>48.641879432624116</c:v>
                </c:pt>
                <c:pt idx="11">
                  <c:v>48.641879432624116</c:v>
                </c:pt>
                <c:pt idx="12">
                  <c:v>48.641879432624116</c:v>
                </c:pt>
                <c:pt idx="13">
                  <c:v>48.641879432624116</c:v>
                </c:pt>
                <c:pt idx="14">
                  <c:v>48.641879432624116</c:v>
                </c:pt>
                <c:pt idx="15">
                  <c:v>48.641879432624116</c:v>
                </c:pt>
                <c:pt idx="16">
                  <c:v>48.641879432624116</c:v>
                </c:pt>
                <c:pt idx="17">
                  <c:v>48.641879432624116</c:v>
                </c:pt>
                <c:pt idx="18">
                  <c:v>48.641879432624116</c:v>
                </c:pt>
                <c:pt idx="19">
                  <c:v>48.641879432624116</c:v>
                </c:pt>
                <c:pt idx="20">
                  <c:v>48.641879432624116</c:v>
                </c:pt>
                <c:pt idx="21">
                  <c:v>48.641879432624116</c:v>
                </c:pt>
                <c:pt idx="22">
                  <c:v>48.641879432624116</c:v>
                </c:pt>
                <c:pt idx="23">
                  <c:v>48.641879432624116</c:v>
                </c:pt>
                <c:pt idx="24">
                  <c:v>48.641879432624116</c:v>
                </c:pt>
                <c:pt idx="25">
                  <c:v>48.641879432624116</c:v>
                </c:pt>
              </c:numCache>
            </c:numRef>
          </c:yVal>
        </c:ser>
        <c:ser>
          <c:idx val="2"/>
          <c:order val="2"/>
          <c:tx>
            <c:strRef>
              <c:f>'QC Data'!$E$1</c:f>
              <c:strCache>
                <c:ptCount val="1"/>
                <c:pt idx="0">
                  <c:v>UCL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'QC Data'!$A$2:$A$27</c:f>
              <c:numCache>
                <c:formatCode>General</c:formatCode>
                <c:ptCount val="26"/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</c:numCache>
            </c:numRef>
          </c:xVal>
          <c:yVal>
            <c:numRef>
              <c:f>'QC Data'!$E$2:$E$27</c:f>
              <c:numCache>
                <c:formatCode>General</c:formatCode>
                <c:ptCount val="26"/>
                <c:pt idx="1">
                  <c:v>61.718120567375884</c:v>
                </c:pt>
                <c:pt idx="2">
                  <c:v>61.718120567375884</c:v>
                </c:pt>
                <c:pt idx="3">
                  <c:v>61.718120567375884</c:v>
                </c:pt>
                <c:pt idx="4">
                  <c:v>61.718120567375884</c:v>
                </c:pt>
                <c:pt idx="5">
                  <c:v>61.718120567375884</c:v>
                </c:pt>
                <c:pt idx="6">
                  <c:v>61.718120567375884</c:v>
                </c:pt>
                <c:pt idx="7">
                  <c:v>61.718120567375884</c:v>
                </c:pt>
                <c:pt idx="8">
                  <c:v>61.718120567375884</c:v>
                </c:pt>
                <c:pt idx="9">
                  <c:v>61.718120567375884</c:v>
                </c:pt>
                <c:pt idx="10">
                  <c:v>61.718120567375884</c:v>
                </c:pt>
                <c:pt idx="11">
                  <c:v>61.718120567375884</c:v>
                </c:pt>
                <c:pt idx="12">
                  <c:v>61.718120567375884</c:v>
                </c:pt>
                <c:pt idx="13">
                  <c:v>61.718120567375884</c:v>
                </c:pt>
                <c:pt idx="14">
                  <c:v>61.718120567375884</c:v>
                </c:pt>
                <c:pt idx="15">
                  <c:v>61.718120567375884</c:v>
                </c:pt>
                <c:pt idx="16">
                  <c:v>61.718120567375884</c:v>
                </c:pt>
                <c:pt idx="17">
                  <c:v>61.718120567375884</c:v>
                </c:pt>
                <c:pt idx="18">
                  <c:v>61.718120567375884</c:v>
                </c:pt>
                <c:pt idx="19">
                  <c:v>61.718120567375884</c:v>
                </c:pt>
                <c:pt idx="20">
                  <c:v>61.718120567375884</c:v>
                </c:pt>
                <c:pt idx="21">
                  <c:v>61.718120567375884</c:v>
                </c:pt>
                <c:pt idx="22">
                  <c:v>61.718120567375884</c:v>
                </c:pt>
                <c:pt idx="23">
                  <c:v>61.718120567375884</c:v>
                </c:pt>
                <c:pt idx="24">
                  <c:v>61.718120567375884</c:v>
                </c:pt>
                <c:pt idx="25">
                  <c:v>61.718120567375884</c:v>
                </c:pt>
              </c:numCache>
            </c:numRef>
          </c:yVal>
        </c:ser>
        <c:axId val="63924864"/>
        <c:axId val="97713152"/>
      </c:scatterChart>
      <c:valAx>
        <c:axId val="63924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Observations</a:t>
                </a:r>
              </a:p>
            </c:rich>
          </c:tx>
          <c:layout/>
        </c:title>
        <c:numFmt formatCode="General" sourceLinked="1"/>
        <c:tickLblPos val="nextTo"/>
        <c:crossAx val="97713152"/>
        <c:crosses val="autoZero"/>
        <c:crossBetween val="midCat"/>
      </c:valAx>
      <c:valAx>
        <c:axId val="97713152"/>
        <c:scaling>
          <c:orientation val="minMax"/>
          <c:max val="70"/>
          <c:min val="40"/>
        </c:scaling>
        <c:axPos val="l"/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Tensile Strength</a:t>
                </a:r>
              </a:p>
            </c:rich>
          </c:tx>
          <c:layout/>
        </c:title>
        <c:numFmt formatCode="General" sourceLinked="1"/>
        <c:tickLblPos val="nextTo"/>
        <c:crossAx val="63924864"/>
        <c:crosses val="autoZero"/>
        <c:crossBetween val="midCat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9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tabSelected="1" workbookViewId="0">
      <selection activeCell="B3" sqref="B3"/>
    </sheetView>
  </sheetViews>
  <sheetFormatPr defaultRowHeight="15"/>
  <cols>
    <col min="1" max="1" width="9.140625" style="3"/>
    <col min="2" max="2" width="27.7109375" style="3" customWidth="1"/>
    <col min="3" max="16384" width="9.140625" style="3"/>
  </cols>
  <sheetData>
    <row r="1" spans="1:2" ht="22.5">
      <c r="A1" s="2" t="s">
        <v>5</v>
      </c>
    </row>
    <row r="3" spans="1:2">
      <c r="A3" s="4" t="s">
        <v>6</v>
      </c>
      <c r="B3" s="5"/>
    </row>
    <row r="4" spans="1:2">
      <c r="A4" s="4" t="s">
        <v>7</v>
      </c>
      <c r="B4" s="6"/>
    </row>
    <row r="6" spans="1:2">
      <c r="A6" s="4" t="s">
        <v>8</v>
      </c>
      <c r="B6" s="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27"/>
  <sheetViews>
    <sheetView workbookViewId="0"/>
  </sheetViews>
  <sheetFormatPr defaultRowHeight="15"/>
  <cols>
    <col min="3" max="3" width="11.140625" customWidth="1"/>
  </cols>
  <sheetData>
    <row r="1" spans="1:5">
      <c r="A1" t="s">
        <v>0</v>
      </c>
      <c r="B1" t="s">
        <v>1</v>
      </c>
      <c r="C1" t="s">
        <v>3</v>
      </c>
      <c r="D1" t="s">
        <v>2</v>
      </c>
      <c r="E1" t="s">
        <v>4</v>
      </c>
    </row>
    <row r="3" spans="1:5">
      <c r="A3">
        <v>25</v>
      </c>
      <c r="B3" s="1">
        <v>57.5</v>
      </c>
      <c r="C3" s="1">
        <f>ABS(B3-B4)</f>
        <v>0</v>
      </c>
      <c r="D3">
        <f t="shared" ref="D3:D27" si="0">AVERAGE(Strength)-3*AVERAGE(ConscDiff)/1.128</f>
        <v>48.641879432624116</v>
      </c>
      <c r="E3">
        <f t="shared" ref="E3:E27" si="1">AVERAGE(Strength)+3*AVERAGE(ConscDiff)/1.128</f>
        <v>61.718120567375884</v>
      </c>
    </row>
    <row r="4" spans="1:5">
      <c r="A4">
        <v>24</v>
      </c>
      <c r="B4" s="1">
        <v>57.5</v>
      </c>
      <c r="C4" s="1">
        <f t="shared" ref="C4:C26" si="2">ABS(B4-B5)</f>
        <v>1.5</v>
      </c>
      <c r="D4">
        <f t="shared" si="0"/>
        <v>48.641879432624116</v>
      </c>
      <c r="E4">
        <f t="shared" si="1"/>
        <v>61.718120567375884</v>
      </c>
    </row>
    <row r="5" spans="1:5">
      <c r="A5">
        <v>23</v>
      </c>
      <c r="B5" s="1">
        <v>56</v>
      </c>
      <c r="C5" s="1">
        <f t="shared" si="2"/>
        <v>0</v>
      </c>
      <c r="D5">
        <f t="shared" si="0"/>
        <v>48.641879432624116</v>
      </c>
      <c r="E5">
        <f t="shared" si="1"/>
        <v>61.718120567375884</v>
      </c>
    </row>
    <row r="6" spans="1:5">
      <c r="A6">
        <v>22</v>
      </c>
      <c r="B6" s="1">
        <v>56</v>
      </c>
      <c r="C6" s="1">
        <f t="shared" si="2"/>
        <v>0</v>
      </c>
      <c r="D6">
        <f t="shared" si="0"/>
        <v>48.641879432624116</v>
      </c>
      <c r="E6">
        <f t="shared" si="1"/>
        <v>61.718120567375884</v>
      </c>
    </row>
    <row r="7" spans="1:5">
      <c r="A7">
        <v>21</v>
      </c>
      <c r="B7" s="1">
        <v>56</v>
      </c>
      <c r="C7" s="1">
        <f t="shared" si="2"/>
        <v>1</v>
      </c>
      <c r="D7">
        <f t="shared" si="0"/>
        <v>48.641879432624116</v>
      </c>
      <c r="E7">
        <f t="shared" si="1"/>
        <v>61.718120567375884</v>
      </c>
    </row>
    <row r="8" spans="1:5">
      <c r="A8">
        <v>20</v>
      </c>
      <c r="B8" s="1">
        <v>55</v>
      </c>
      <c r="C8" s="1">
        <f t="shared" si="2"/>
        <v>1</v>
      </c>
      <c r="D8">
        <f t="shared" si="0"/>
        <v>48.641879432624116</v>
      </c>
      <c r="E8">
        <f t="shared" si="1"/>
        <v>61.718120567375884</v>
      </c>
    </row>
    <row r="9" spans="1:5">
      <c r="A9">
        <v>19</v>
      </c>
      <c r="B9" s="1">
        <v>56</v>
      </c>
      <c r="C9" s="1">
        <f t="shared" si="2"/>
        <v>0</v>
      </c>
      <c r="D9">
        <f t="shared" si="0"/>
        <v>48.641879432624116</v>
      </c>
      <c r="E9">
        <f t="shared" si="1"/>
        <v>61.718120567375884</v>
      </c>
    </row>
    <row r="10" spans="1:5">
      <c r="A10">
        <v>18</v>
      </c>
      <c r="B10" s="1">
        <v>56</v>
      </c>
      <c r="C10" s="1">
        <f t="shared" si="2"/>
        <v>2.5</v>
      </c>
      <c r="D10">
        <f t="shared" si="0"/>
        <v>48.641879432624116</v>
      </c>
      <c r="E10">
        <f t="shared" si="1"/>
        <v>61.718120567375884</v>
      </c>
    </row>
    <row r="11" spans="1:5">
      <c r="A11">
        <v>17</v>
      </c>
      <c r="B11" s="1">
        <v>53.5</v>
      </c>
      <c r="C11" s="1">
        <f t="shared" si="2"/>
        <v>3</v>
      </c>
      <c r="D11">
        <f t="shared" si="0"/>
        <v>48.641879432624116</v>
      </c>
      <c r="E11">
        <f t="shared" si="1"/>
        <v>61.718120567375884</v>
      </c>
    </row>
    <row r="12" spans="1:5">
      <c r="A12">
        <v>16</v>
      </c>
      <c r="B12" s="1">
        <v>50.5</v>
      </c>
      <c r="C12" s="1">
        <f t="shared" si="2"/>
        <v>2</v>
      </c>
      <c r="D12">
        <f t="shared" si="0"/>
        <v>48.641879432624116</v>
      </c>
      <c r="E12">
        <f t="shared" si="1"/>
        <v>61.718120567375884</v>
      </c>
    </row>
    <row r="13" spans="1:5">
      <c r="A13">
        <v>15</v>
      </c>
      <c r="B13" s="1">
        <v>52.5</v>
      </c>
      <c r="C13" s="1">
        <f t="shared" si="2"/>
        <v>3.5</v>
      </c>
      <c r="D13">
        <f t="shared" si="0"/>
        <v>48.641879432624116</v>
      </c>
      <c r="E13">
        <f t="shared" si="1"/>
        <v>61.718120567375884</v>
      </c>
    </row>
    <row r="14" spans="1:5">
      <c r="A14">
        <v>14</v>
      </c>
      <c r="B14" s="1">
        <v>56</v>
      </c>
      <c r="C14" s="1">
        <f t="shared" si="2"/>
        <v>1.5</v>
      </c>
      <c r="D14">
        <f t="shared" si="0"/>
        <v>48.641879432624116</v>
      </c>
      <c r="E14">
        <f t="shared" si="1"/>
        <v>61.718120567375884</v>
      </c>
    </row>
    <row r="15" spans="1:5">
      <c r="A15">
        <v>13</v>
      </c>
      <c r="B15" s="1">
        <v>57.5</v>
      </c>
      <c r="C15" s="1">
        <f t="shared" si="2"/>
        <v>2.5</v>
      </c>
      <c r="D15">
        <f t="shared" si="0"/>
        <v>48.641879432624116</v>
      </c>
      <c r="E15">
        <f t="shared" si="1"/>
        <v>61.718120567375884</v>
      </c>
    </row>
    <row r="16" spans="1:5">
      <c r="A16">
        <v>12</v>
      </c>
      <c r="B16" s="1">
        <v>55</v>
      </c>
      <c r="C16" s="1">
        <f t="shared" si="2"/>
        <v>2</v>
      </c>
      <c r="D16">
        <f t="shared" si="0"/>
        <v>48.641879432624116</v>
      </c>
      <c r="E16">
        <f t="shared" si="1"/>
        <v>61.718120567375884</v>
      </c>
    </row>
    <row r="17" spans="1:5">
      <c r="A17">
        <v>11</v>
      </c>
      <c r="B17" s="1">
        <v>53</v>
      </c>
      <c r="C17" s="1">
        <f t="shared" si="2"/>
        <v>5.5</v>
      </c>
      <c r="D17">
        <f t="shared" si="0"/>
        <v>48.641879432624116</v>
      </c>
      <c r="E17">
        <f t="shared" si="1"/>
        <v>61.718120567375884</v>
      </c>
    </row>
    <row r="18" spans="1:5">
      <c r="A18">
        <v>10</v>
      </c>
      <c r="B18" s="1">
        <v>58.5</v>
      </c>
      <c r="C18" s="1">
        <f t="shared" si="2"/>
        <v>5.5</v>
      </c>
      <c r="D18">
        <f t="shared" si="0"/>
        <v>48.641879432624116</v>
      </c>
      <c r="E18">
        <f t="shared" si="1"/>
        <v>61.718120567375884</v>
      </c>
    </row>
    <row r="19" spans="1:5">
      <c r="A19">
        <v>9</v>
      </c>
      <c r="B19" s="1">
        <v>53</v>
      </c>
      <c r="C19" s="1">
        <f t="shared" si="2"/>
        <v>4.5</v>
      </c>
      <c r="D19">
        <f t="shared" si="0"/>
        <v>48.641879432624116</v>
      </c>
      <c r="E19">
        <f t="shared" si="1"/>
        <v>61.718120567375884</v>
      </c>
    </row>
    <row r="20" spans="1:5">
      <c r="A20">
        <v>8</v>
      </c>
      <c r="B20" s="1">
        <v>57.5</v>
      </c>
      <c r="C20" s="1">
        <f t="shared" si="2"/>
        <v>2.5</v>
      </c>
      <c r="D20">
        <f t="shared" si="0"/>
        <v>48.641879432624116</v>
      </c>
      <c r="E20">
        <f t="shared" si="1"/>
        <v>61.718120567375884</v>
      </c>
    </row>
    <row r="21" spans="1:5">
      <c r="A21">
        <v>7</v>
      </c>
      <c r="B21" s="1">
        <v>55</v>
      </c>
      <c r="C21" s="1">
        <f t="shared" si="2"/>
        <v>5</v>
      </c>
      <c r="D21">
        <f t="shared" si="0"/>
        <v>48.641879432624116</v>
      </c>
      <c r="E21">
        <f t="shared" si="1"/>
        <v>61.718120567375884</v>
      </c>
    </row>
    <row r="22" spans="1:5">
      <c r="A22">
        <v>6</v>
      </c>
      <c r="B22" s="1">
        <v>50</v>
      </c>
      <c r="C22" s="1">
        <f t="shared" si="2"/>
        <v>7</v>
      </c>
      <c r="D22">
        <f t="shared" si="0"/>
        <v>48.641879432624116</v>
      </c>
      <c r="E22">
        <f t="shared" si="1"/>
        <v>61.718120567375884</v>
      </c>
    </row>
    <row r="23" spans="1:5">
      <c r="A23">
        <v>5</v>
      </c>
      <c r="B23" s="1">
        <v>57</v>
      </c>
      <c r="C23" s="1">
        <f t="shared" si="2"/>
        <v>1</v>
      </c>
      <c r="D23">
        <f t="shared" si="0"/>
        <v>48.641879432624116</v>
      </c>
      <c r="E23">
        <f t="shared" si="1"/>
        <v>61.718120567375884</v>
      </c>
    </row>
    <row r="24" spans="1:5">
      <c r="A24">
        <v>4</v>
      </c>
      <c r="B24" s="1">
        <v>58</v>
      </c>
      <c r="C24" s="1">
        <f t="shared" si="2"/>
        <v>3.5</v>
      </c>
      <c r="D24">
        <f t="shared" si="0"/>
        <v>48.641879432624116</v>
      </c>
      <c r="E24">
        <f t="shared" si="1"/>
        <v>61.718120567375884</v>
      </c>
    </row>
    <row r="25" spans="1:5">
      <c r="A25">
        <v>3</v>
      </c>
      <c r="B25" s="1">
        <v>54.5</v>
      </c>
      <c r="C25" s="1">
        <f t="shared" si="2"/>
        <v>1</v>
      </c>
      <c r="D25">
        <f t="shared" si="0"/>
        <v>48.641879432624116</v>
      </c>
      <c r="E25">
        <f t="shared" si="1"/>
        <v>61.718120567375884</v>
      </c>
    </row>
    <row r="26" spans="1:5">
      <c r="A26">
        <v>2</v>
      </c>
      <c r="B26" s="1">
        <v>55.5</v>
      </c>
      <c r="C26" s="1">
        <f t="shared" si="2"/>
        <v>3</v>
      </c>
      <c r="D26">
        <f t="shared" si="0"/>
        <v>48.641879432624116</v>
      </c>
      <c r="E26">
        <f t="shared" si="1"/>
        <v>61.718120567375884</v>
      </c>
    </row>
    <row r="27" spans="1:5">
      <c r="A27">
        <v>1</v>
      </c>
      <c r="B27" s="1">
        <v>52.5</v>
      </c>
      <c r="C27" s="1"/>
      <c r="D27">
        <f t="shared" si="0"/>
        <v>48.641879432624116</v>
      </c>
      <c r="E27">
        <f t="shared" si="1"/>
        <v>61.718120567375884</v>
      </c>
    </row>
  </sheetData>
  <sortState ref="A2:B26">
    <sortCondition descending="1" ref="A2:A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Documentation</vt:lpstr>
      <vt:lpstr>QC Data</vt:lpstr>
      <vt:lpstr>QC Chart</vt:lpstr>
      <vt:lpstr>ConscDiff</vt:lpstr>
      <vt:lpstr>LCL</vt:lpstr>
      <vt:lpstr>Obs</vt:lpstr>
      <vt:lpstr>Strength</vt:lpstr>
      <vt:lpstr>UCL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2007-04-25T01:45:22Z</dcterms:created>
  <dcterms:modified xsi:type="dcterms:W3CDTF">2007-04-25T05:40:54Z</dcterms:modified>
</cp:coreProperties>
</file>