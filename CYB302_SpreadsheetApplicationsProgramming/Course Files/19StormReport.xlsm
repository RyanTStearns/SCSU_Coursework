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showSheetTabs="0" xWindow="630" yWindow="240" windowWidth="18690" windowHeight="10980"/>
  </bookViews>
  <sheets>
    <sheet name="Documentation" sheetId="7" r:id="rId1"/>
    <sheet name="Report" sheetId="8" r:id="rId2"/>
    <sheet name="Yearly Chart" sheetId="3" r:id="rId3"/>
    <sheet name="Decades Chart" sheetId="4" r:id="rId4"/>
    <sheet name="Comparison Chart" sheetId="5" r:id="rId5"/>
    <sheet name="Statistics" sheetId="6" r:id="rId6"/>
    <sheet name="Data" sheetId="1" r:id="rId7"/>
  </sheets>
  <definedNames>
    <definedName name="AllData">Data!$I$7:$I$56</definedName>
    <definedName name="AllLabel">Data!$I$6</definedName>
    <definedName name="F0Data">Data!$C$7:$C$56</definedName>
    <definedName name="F0Label">Data!$C$6</definedName>
    <definedName name="F1Data">Data!$D$7:$D$56</definedName>
    <definedName name="F1Label">Data!$D$6</definedName>
    <definedName name="F2Data">Data!$E$7:$E$56</definedName>
    <definedName name="F2Label">Data!$E$6</definedName>
    <definedName name="F3Data">Data!$F$7:$F$56</definedName>
    <definedName name="F3Label">Data!$F$6</definedName>
    <definedName name="F4Data">Data!$G$7:$G$56</definedName>
    <definedName name="F4Label">Data!$G$6</definedName>
    <definedName name="F5Data">Data!$H$7:$H$56</definedName>
    <definedName name="F5Label">Data!$H$6</definedName>
    <definedName name="TornadoData">AllData</definedName>
    <definedName name="TornadoLabel">AllLabel</definedName>
    <definedName name="Year">Data!$B$7:$B$56</definedName>
  </definedNames>
  <calcPr calcId="125725"/>
</workbook>
</file>

<file path=xl/calcChain.xml><?xml version="1.0" encoding="utf-8"?>
<calcChain xmlns="http://schemas.openxmlformats.org/spreadsheetml/2006/main">
  <c r="C6" i="8"/>
  <c r="C5" i="6"/>
  <c r="P17" i="1"/>
  <c r="I8"/>
  <c r="L7" s="1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P7" s="1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7"/>
  <c r="C14" i="6" s="1"/>
  <c r="L6" i="1"/>
  <c r="D7" i="6" l="1"/>
  <c r="D8"/>
  <c r="D9"/>
  <c r="D10"/>
  <c r="D11"/>
  <c r="D13"/>
  <c r="D14"/>
  <c r="O7" i="1"/>
  <c r="O17"/>
  <c r="C7" i="6"/>
  <c r="C8"/>
  <c r="C9"/>
  <c r="C10"/>
  <c r="C11"/>
  <c r="C13"/>
  <c r="D12"/>
  <c r="P8" i="1"/>
  <c r="O8"/>
  <c r="L8"/>
  <c r="L9" s="1"/>
  <c r="C12" i="6" l="1"/>
  <c r="O9" i="1"/>
  <c r="P9"/>
  <c r="L10"/>
  <c r="L11" s="1"/>
  <c r="P10" l="1"/>
  <c r="O10"/>
  <c r="O11" s="1"/>
  <c r="O12" l="1"/>
  <c r="P11"/>
  <c r="O13" l="1"/>
  <c r="O14" s="1"/>
  <c r="P12"/>
  <c r="P13" s="1"/>
  <c r="O15" l="1"/>
  <c r="O16" s="1"/>
  <c r="P14"/>
  <c r="P15" s="1"/>
  <c r="P16" s="1"/>
</calcChain>
</file>

<file path=xl/sharedStrings.xml><?xml version="1.0" encoding="utf-8"?>
<sst xmlns="http://schemas.openxmlformats.org/spreadsheetml/2006/main" count="79" uniqueCount="72">
  <si>
    <t>Year</t>
  </si>
  <si>
    <t>F0</t>
  </si>
  <si>
    <t>F1</t>
  </si>
  <si>
    <t>F2</t>
  </si>
  <si>
    <t>F3</t>
  </si>
  <si>
    <t>F4</t>
  </si>
  <si>
    <t>F5</t>
  </si>
  <si>
    <t>40 - 72 mph</t>
  </si>
  <si>
    <t>73 - 112 mph</t>
  </si>
  <si>
    <t>113 - 157 mph</t>
  </si>
  <si>
    <t>158 - 206 mph</t>
  </si>
  <si>
    <t>207 - 260 mph</t>
  </si>
  <si>
    <t>261 - 318 mph</t>
  </si>
  <si>
    <t>F0 Tornadoes</t>
  </si>
  <si>
    <t>F1 Tornadoes</t>
  </si>
  <si>
    <t>F2 Tornadoes</t>
  </si>
  <si>
    <t>F3 Tornadoes</t>
  </si>
  <si>
    <t>F4 Tornadoes</t>
  </si>
  <si>
    <t>F5 Tornadoes</t>
  </si>
  <si>
    <t>All Tornadoes</t>
  </si>
  <si>
    <t>Decade</t>
  </si>
  <si>
    <t>1950's</t>
  </si>
  <si>
    <t>1960's</t>
  </si>
  <si>
    <t>1970's</t>
  </si>
  <si>
    <t>1980's</t>
  </si>
  <si>
    <t>1990's</t>
  </si>
  <si>
    <t>Tornadoes per Year</t>
  </si>
  <si>
    <t>(1950-1974)</t>
  </si>
  <si>
    <t>(1975-1999)</t>
  </si>
  <si>
    <t>0-10</t>
  </si>
  <si>
    <t>11-20</t>
  </si>
  <si>
    <t>21-30</t>
  </si>
  <si>
    <t>31-40</t>
  </si>
  <si>
    <t>41-50</t>
  </si>
  <si>
    <t>51-60</t>
  </si>
  <si>
    <t>61-70</t>
  </si>
  <si>
    <t>71-80</t>
  </si>
  <si>
    <t>81-90</t>
  </si>
  <si>
    <t>91-100</t>
  </si>
  <si>
    <t>&gt; 100</t>
  </si>
  <si>
    <t>Tornado Type</t>
  </si>
  <si>
    <t>1950-1974</t>
  </si>
  <si>
    <t>1975-1999</t>
  </si>
  <si>
    <t>Years</t>
  </si>
  <si>
    <t>Average per Year</t>
  </si>
  <si>
    <t>Median per Year</t>
  </si>
  <si>
    <t>Minimum per Year</t>
  </si>
  <si>
    <t>Maximum per Year</t>
  </si>
  <si>
    <t>Range</t>
  </si>
  <si>
    <t>Standard Deviation</t>
  </si>
  <si>
    <t>Variance</t>
  </si>
  <si>
    <t>Author</t>
  </si>
  <si>
    <t>Date</t>
  </si>
  <si>
    <t>Purpose</t>
  </si>
  <si>
    <t>Tornado Report</t>
  </si>
  <si>
    <t>Fujita Scale of Intensity</t>
  </si>
  <si>
    <t>Type</t>
  </si>
  <si>
    <t>Intensity</t>
  </si>
  <si>
    <t>Wind Speed</t>
  </si>
  <si>
    <t>Gale</t>
  </si>
  <si>
    <t>Moderate</t>
  </si>
  <si>
    <t>Significant</t>
  </si>
  <si>
    <t>Severe</t>
  </si>
  <si>
    <t>Devastating</t>
  </si>
  <si>
    <t>Incredible</t>
  </si>
  <si>
    <t>Display</t>
  </si>
  <si>
    <t>Midwest Center for Atmospheric Science</t>
  </si>
  <si>
    <t>Council Bluffs, Iowa</t>
  </si>
  <si>
    <t>Tornado Analysis (F0 to F5)</t>
  </si>
  <si>
    <t>Tornado Data</t>
  </si>
  <si>
    <t>To analyze the prevalence of tornadoes in the United States from 1950 to 1999</t>
  </si>
  <si>
    <t>Ryan T. Stearns</t>
  </si>
</sst>
</file>

<file path=xl/styles.xml><?xml version="1.0" encoding="utf-8"?>
<styleSheet xmlns="http://schemas.openxmlformats.org/spreadsheetml/2006/main">
  <fonts count="20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mbria"/>
      <family val="2"/>
      <scheme val="major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b/>
      <sz val="14"/>
      <color theme="2" tint="-0.749992370372631"/>
      <name val="Cambria"/>
      <family val="2"/>
      <scheme val="major"/>
    </font>
    <font>
      <sz val="10"/>
      <color theme="0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sz val="10"/>
      <color rgb="FFFFFF0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4" tint="-0.499984740745262"/>
      <name val="Cambria"/>
      <family val="2"/>
      <scheme val="major"/>
    </font>
    <font>
      <sz val="11"/>
      <color theme="4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9" fillId="0" borderId="0"/>
  </cellStyleXfs>
  <cellXfs count="38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/>
    <xf numFmtId="0" fontId="6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3" borderId="1" xfId="0" applyFill="1" applyBorder="1"/>
    <xf numFmtId="16" fontId="0" fillId="3" borderId="1" xfId="0" quotePrefix="1" applyNumberFormat="1" applyFill="1" applyBorder="1" applyAlignment="1">
      <alignment horizontal="left"/>
    </xf>
    <xf numFmtId="0" fontId="0" fillId="3" borderId="1" xfId="0" quotePrefix="1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2" xfId="0" applyFill="1" applyBorder="1"/>
    <xf numFmtId="0" fontId="0" fillId="4" borderId="0" xfId="0" applyFill="1"/>
    <xf numFmtId="0" fontId="7" fillId="4" borderId="1" xfId="0" applyFont="1" applyFill="1" applyBorder="1" applyAlignment="1">
      <alignment horizontal="center"/>
    </xf>
    <xf numFmtId="0" fontId="1" fillId="4" borderId="0" xfId="3" applyFont="1" applyFill="1"/>
    <xf numFmtId="0" fontId="6" fillId="4" borderId="0" xfId="3" applyFont="1" applyFill="1" applyAlignment="1">
      <alignment vertical="top"/>
    </xf>
    <xf numFmtId="0" fontId="10" fillId="3" borderId="1" xfId="3" applyFont="1" applyFill="1" applyBorder="1"/>
    <xf numFmtId="14" fontId="10" fillId="3" borderId="1" xfId="3" applyNumberFormat="1" applyFont="1" applyFill="1" applyBorder="1"/>
    <xf numFmtId="0" fontId="10" fillId="3" borderId="1" xfId="3" applyFont="1" applyFill="1" applyBorder="1" applyAlignment="1">
      <alignment horizontal="left" vertical="top" wrapText="1"/>
    </xf>
    <xf numFmtId="0" fontId="0" fillId="0" borderId="0" xfId="0" applyFill="1"/>
    <xf numFmtId="0" fontId="7" fillId="0" borderId="0" xfId="0" applyFont="1" applyFill="1" applyBorder="1"/>
    <xf numFmtId="0" fontId="0" fillId="0" borderId="1" xfId="0" applyFill="1" applyBorder="1"/>
    <xf numFmtId="2" fontId="0" fillId="0" borderId="1" xfId="0" applyNumberFormat="1" applyFill="1" applyBorder="1"/>
    <xf numFmtId="0" fontId="11" fillId="0" borderId="0" xfId="0" applyFont="1" applyFill="1" applyAlignment="1">
      <alignment horizontal="left" vertical="center"/>
    </xf>
    <xf numFmtId="0" fontId="13" fillId="4" borderId="1" xfId="0" applyFont="1" applyFill="1" applyBorder="1"/>
    <xf numFmtId="0" fontId="4" fillId="0" borderId="0" xfId="1"/>
    <xf numFmtId="0" fontId="5" fillId="0" borderId="0" xfId="2"/>
    <xf numFmtId="0" fontId="15" fillId="0" borderId="1" xfId="0" applyFont="1" applyBorder="1"/>
    <xf numFmtId="0" fontId="15" fillId="5" borderId="1" xfId="0" applyFont="1" applyFill="1" applyBorder="1"/>
    <xf numFmtId="0" fontId="15" fillId="6" borderId="1" xfId="0" applyFont="1" applyFill="1" applyBorder="1"/>
    <xf numFmtId="0" fontId="16" fillId="4" borderId="1" xfId="0" applyFont="1" applyFill="1" applyBorder="1"/>
    <xf numFmtId="0" fontId="17" fillId="4" borderId="0" xfId="0" applyFont="1" applyFill="1"/>
    <xf numFmtId="0" fontId="8" fillId="4" borderId="0" xfId="1" applyFont="1" applyFill="1"/>
    <xf numFmtId="0" fontId="7" fillId="4" borderId="0" xfId="0" applyFont="1" applyFill="1"/>
    <xf numFmtId="0" fontId="17" fillId="4" borderId="0" xfId="0" applyFont="1" applyFill="1" applyAlignment="1">
      <alignment vertical="center"/>
    </xf>
    <xf numFmtId="0" fontId="18" fillId="0" borderId="0" xfId="1" applyFont="1" applyFill="1"/>
    <xf numFmtId="0" fontId="19" fillId="0" borderId="0" xfId="0" applyFont="1" applyFill="1"/>
    <xf numFmtId="0" fontId="8" fillId="4" borderId="0" xfId="1" applyFont="1" applyFill="1" applyAlignment="1">
      <alignment horizontal="left"/>
    </xf>
    <xf numFmtId="0" fontId="12" fillId="0" borderId="0" xfId="1" applyFont="1" applyFill="1" applyAlignment="1">
      <alignment horizontal="center"/>
    </xf>
    <xf numFmtId="0" fontId="11" fillId="0" borderId="3" xfId="0" applyFont="1" applyFill="1" applyBorder="1" applyAlignment="1">
      <alignment horizontal="center" vertical="center"/>
    </xf>
  </cellXfs>
  <cellStyles count="4">
    <cellStyle name="Heading 4" xfId="2" builtinId="19"/>
    <cellStyle name="Normal" xfId="0" builtinId="0"/>
    <cellStyle name="Normal 2" xfId="3"/>
    <cellStyle name="Title" xfId="1" builtinId="1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[0]!TornadoLabel</c:f>
          <c:strCache>
            <c:ptCount val="1"/>
            <c:pt idx="0">
              <c:v>All Tornadoes</c:v>
            </c:pt>
          </c:strCache>
        </c:strRef>
      </c:tx>
      <c:layout/>
      <c:txPr>
        <a:bodyPr/>
        <a:lstStyle/>
        <a:p>
          <a:pPr>
            <a:defRPr sz="2000"/>
          </a:pPr>
          <a:endParaRPr lang="en-US"/>
        </a:p>
      </c:txPr>
    </c:title>
    <c:plotArea>
      <c:layout/>
      <c:lineChart>
        <c:grouping val="standard"/>
        <c:ser>
          <c:idx val="1"/>
          <c:order val="0"/>
          <c:tx>
            <c:strRef>
              <c:f>[0]!TornadoLabel</c:f>
              <c:strCache>
                <c:ptCount val="1"/>
                <c:pt idx="0">
                  <c:v>All Tornadoes</c:v>
                </c:pt>
              </c:strCache>
            </c:strRef>
          </c:tx>
          <c:marker>
            <c:symbol val="none"/>
          </c:marker>
          <c:cat>
            <c:numRef>
              <c:f>Data!$B$7:$B$56</c:f>
              <c:numCache>
                <c:formatCode>General</c:formatCode>
                <c:ptCount val="50"/>
                <c:pt idx="0">
                  <c:v>1950</c:v>
                </c:pt>
                <c:pt idx="1">
                  <c:v>1951</c:v>
                </c:pt>
                <c:pt idx="2">
                  <c:v>1952</c:v>
                </c:pt>
                <c:pt idx="3">
                  <c:v>1953</c:v>
                </c:pt>
                <c:pt idx="4">
                  <c:v>1954</c:v>
                </c:pt>
                <c:pt idx="5">
                  <c:v>1955</c:v>
                </c:pt>
                <c:pt idx="6">
                  <c:v>1956</c:v>
                </c:pt>
                <c:pt idx="7">
                  <c:v>1957</c:v>
                </c:pt>
                <c:pt idx="8">
                  <c:v>1958</c:v>
                </c:pt>
                <c:pt idx="9">
                  <c:v>1959</c:v>
                </c:pt>
                <c:pt idx="10">
                  <c:v>1960</c:v>
                </c:pt>
                <c:pt idx="11">
                  <c:v>1961</c:v>
                </c:pt>
                <c:pt idx="12">
                  <c:v>1962</c:v>
                </c:pt>
                <c:pt idx="13">
                  <c:v>1963</c:v>
                </c:pt>
                <c:pt idx="14">
                  <c:v>1964</c:v>
                </c:pt>
                <c:pt idx="15">
                  <c:v>1965</c:v>
                </c:pt>
                <c:pt idx="16">
                  <c:v>1966</c:v>
                </c:pt>
                <c:pt idx="17">
                  <c:v>1967</c:v>
                </c:pt>
                <c:pt idx="18">
                  <c:v>1968</c:v>
                </c:pt>
                <c:pt idx="19">
                  <c:v>1969</c:v>
                </c:pt>
                <c:pt idx="20">
                  <c:v>1970</c:v>
                </c:pt>
                <c:pt idx="21">
                  <c:v>1971</c:v>
                </c:pt>
                <c:pt idx="22">
                  <c:v>1972</c:v>
                </c:pt>
                <c:pt idx="23">
                  <c:v>1973</c:v>
                </c:pt>
                <c:pt idx="24">
                  <c:v>1974</c:v>
                </c:pt>
                <c:pt idx="25">
                  <c:v>1975</c:v>
                </c:pt>
                <c:pt idx="26">
                  <c:v>1976</c:v>
                </c:pt>
                <c:pt idx="27">
                  <c:v>1977</c:v>
                </c:pt>
                <c:pt idx="28">
                  <c:v>1978</c:v>
                </c:pt>
                <c:pt idx="29">
                  <c:v>1979</c:v>
                </c:pt>
                <c:pt idx="30">
                  <c:v>1980</c:v>
                </c:pt>
                <c:pt idx="31">
                  <c:v>1981</c:v>
                </c:pt>
                <c:pt idx="32">
                  <c:v>1982</c:v>
                </c:pt>
                <c:pt idx="33">
                  <c:v>1983</c:v>
                </c:pt>
                <c:pt idx="34">
                  <c:v>1984</c:v>
                </c:pt>
                <c:pt idx="35">
                  <c:v>1985</c:v>
                </c:pt>
                <c:pt idx="36">
                  <c:v>1986</c:v>
                </c:pt>
                <c:pt idx="37">
                  <c:v>1987</c:v>
                </c:pt>
                <c:pt idx="38">
                  <c:v>1988</c:v>
                </c:pt>
                <c:pt idx="39">
                  <c:v>1989</c:v>
                </c:pt>
                <c:pt idx="40">
                  <c:v>1990</c:v>
                </c:pt>
                <c:pt idx="41">
                  <c:v>1991</c:v>
                </c:pt>
                <c:pt idx="42">
                  <c:v>1992</c:v>
                </c:pt>
                <c:pt idx="43">
                  <c:v>1993</c:v>
                </c:pt>
                <c:pt idx="44">
                  <c:v>1994</c:v>
                </c:pt>
                <c:pt idx="45">
                  <c:v>1995</c:v>
                </c:pt>
                <c:pt idx="46">
                  <c:v>1996</c:v>
                </c:pt>
                <c:pt idx="47">
                  <c:v>1997</c:v>
                </c:pt>
                <c:pt idx="48">
                  <c:v>1998</c:v>
                </c:pt>
                <c:pt idx="49">
                  <c:v>1999</c:v>
                </c:pt>
              </c:numCache>
            </c:numRef>
          </c:cat>
          <c:val>
            <c:numRef>
              <c:f>[0]!TornadoData</c:f>
              <c:numCache>
                <c:formatCode>General</c:formatCode>
                <c:ptCount val="50"/>
                <c:pt idx="0">
                  <c:v>29</c:v>
                </c:pt>
                <c:pt idx="1">
                  <c:v>47</c:v>
                </c:pt>
                <c:pt idx="2">
                  <c:v>16</c:v>
                </c:pt>
                <c:pt idx="3">
                  <c:v>28</c:v>
                </c:pt>
                <c:pt idx="4">
                  <c:v>56</c:v>
                </c:pt>
                <c:pt idx="5">
                  <c:v>69</c:v>
                </c:pt>
                <c:pt idx="6">
                  <c:v>47</c:v>
                </c:pt>
                <c:pt idx="7">
                  <c:v>41</c:v>
                </c:pt>
                <c:pt idx="8">
                  <c:v>36</c:v>
                </c:pt>
                <c:pt idx="9">
                  <c:v>59</c:v>
                </c:pt>
                <c:pt idx="10">
                  <c:v>47</c:v>
                </c:pt>
                <c:pt idx="11">
                  <c:v>31</c:v>
                </c:pt>
                <c:pt idx="12">
                  <c:v>47</c:v>
                </c:pt>
                <c:pt idx="13">
                  <c:v>27</c:v>
                </c:pt>
                <c:pt idx="14">
                  <c:v>61</c:v>
                </c:pt>
                <c:pt idx="15">
                  <c:v>38</c:v>
                </c:pt>
                <c:pt idx="16">
                  <c:v>30</c:v>
                </c:pt>
                <c:pt idx="17">
                  <c:v>23</c:v>
                </c:pt>
                <c:pt idx="18">
                  <c:v>21</c:v>
                </c:pt>
                <c:pt idx="19">
                  <c:v>18</c:v>
                </c:pt>
                <c:pt idx="20">
                  <c:v>27</c:v>
                </c:pt>
                <c:pt idx="21">
                  <c:v>40</c:v>
                </c:pt>
                <c:pt idx="22">
                  <c:v>45</c:v>
                </c:pt>
                <c:pt idx="23">
                  <c:v>58</c:v>
                </c:pt>
                <c:pt idx="24">
                  <c:v>32</c:v>
                </c:pt>
                <c:pt idx="25">
                  <c:v>17</c:v>
                </c:pt>
                <c:pt idx="26">
                  <c:v>16</c:v>
                </c:pt>
                <c:pt idx="27">
                  <c:v>16</c:v>
                </c:pt>
                <c:pt idx="28">
                  <c:v>22</c:v>
                </c:pt>
                <c:pt idx="29">
                  <c:v>29</c:v>
                </c:pt>
                <c:pt idx="30">
                  <c:v>19</c:v>
                </c:pt>
                <c:pt idx="31">
                  <c:v>39</c:v>
                </c:pt>
                <c:pt idx="32">
                  <c:v>60</c:v>
                </c:pt>
                <c:pt idx="33">
                  <c:v>31</c:v>
                </c:pt>
                <c:pt idx="34">
                  <c:v>63</c:v>
                </c:pt>
                <c:pt idx="35">
                  <c:v>20</c:v>
                </c:pt>
                <c:pt idx="36">
                  <c:v>33</c:v>
                </c:pt>
                <c:pt idx="37">
                  <c:v>23</c:v>
                </c:pt>
                <c:pt idx="38">
                  <c:v>24</c:v>
                </c:pt>
                <c:pt idx="39">
                  <c:v>31</c:v>
                </c:pt>
                <c:pt idx="40">
                  <c:v>88</c:v>
                </c:pt>
                <c:pt idx="41">
                  <c:v>117</c:v>
                </c:pt>
                <c:pt idx="42">
                  <c:v>92</c:v>
                </c:pt>
                <c:pt idx="43">
                  <c:v>118</c:v>
                </c:pt>
                <c:pt idx="44">
                  <c:v>41</c:v>
                </c:pt>
                <c:pt idx="45">
                  <c:v>70</c:v>
                </c:pt>
                <c:pt idx="46">
                  <c:v>73</c:v>
                </c:pt>
                <c:pt idx="47">
                  <c:v>65</c:v>
                </c:pt>
                <c:pt idx="48">
                  <c:v>72</c:v>
                </c:pt>
                <c:pt idx="49">
                  <c:v>68</c:v>
                </c:pt>
              </c:numCache>
            </c:numRef>
          </c:val>
        </c:ser>
        <c:ser>
          <c:idx val="0"/>
          <c:order val="1"/>
          <c:tx>
            <c:strRef>
              <c:f>Report!$B$1</c:f>
              <c:strCache>
                <c:ptCount val="1"/>
                <c:pt idx="0">
                  <c:v>Midwest Center for Atmospheric Science</c:v>
                </c:pt>
              </c:strCache>
            </c:strRef>
          </c:tx>
          <c:marker>
            <c:symbol val="none"/>
          </c:marker>
          <c:cat>
            <c:numRef>
              <c:f>Data!$B$7:$B$56</c:f>
              <c:numCache>
                <c:formatCode>General</c:formatCode>
                <c:ptCount val="50"/>
                <c:pt idx="0">
                  <c:v>1950</c:v>
                </c:pt>
                <c:pt idx="1">
                  <c:v>1951</c:v>
                </c:pt>
                <c:pt idx="2">
                  <c:v>1952</c:v>
                </c:pt>
                <c:pt idx="3">
                  <c:v>1953</c:v>
                </c:pt>
                <c:pt idx="4">
                  <c:v>1954</c:v>
                </c:pt>
                <c:pt idx="5">
                  <c:v>1955</c:v>
                </c:pt>
                <c:pt idx="6">
                  <c:v>1956</c:v>
                </c:pt>
                <c:pt idx="7">
                  <c:v>1957</c:v>
                </c:pt>
                <c:pt idx="8">
                  <c:v>1958</c:v>
                </c:pt>
                <c:pt idx="9">
                  <c:v>1959</c:v>
                </c:pt>
                <c:pt idx="10">
                  <c:v>1960</c:v>
                </c:pt>
                <c:pt idx="11">
                  <c:v>1961</c:v>
                </c:pt>
                <c:pt idx="12">
                  <c:v>1962</c:v>
                </c:pt>
                <c:pt idx="13">
                  <c:v>1963</c:v>
                </c:pt>
                <c:pt idx="14">
                  <c:v>1964</c:v>
                </c:pt>
                <c:pt idx="15">
                  <c:v>1965</c:v>
                </c:pt>
                <c:pt idx="16">
                  <c:v>1966</c:v>
                </c:pt>
                <c:pt idx="17">
                  <c:v>1967</c:v>
                </c:pt>
                <c:pt idx="18">
                  <c:v>1968</c:v>
                </c:pt>
                <c:pt idx="19">
                  <c:v>1969</c:v>
                </c:pt>
                <c:pt idx="20">
                  <c:v>1970</c:v>
                </c:pt>
                <c:pt idx="21">
                  <c:v>1971</c:v>
                </c:pt>
                <c:pt idx="22">
                  <c:v>1972</c:v>
                </c:pt>
                <c:pt idx="23">
                  <c:v>1973</c:v>
                </c:pt>
                <c:pt idx="24">
                  <c:v>1974</c:v>
                </c:pt>
                <c:pt idx="25">
                  <c:v>1975</c:v>
                </c:pt>
                <c:pt idx="26">
                  <c:v>1976</c:v>
                </c:pt>
                <c:pt idx="27">
                  <c:v>1977</c:v>
                </c:pt>
                <c:pt idx="28">
                  <c:v>1978</c:v>
                </c:pt>
                <c:pt idx="29">
                  <c:v>1979</c:v>
                </c:pt>
                <c:pt idx="30">
                  <c:v>1980</c:v>
                </c:pt>
                <c:pt idx="31">
                  <c:v>1981</c:v>
                </c:pt>
                <c:pt idx="32">
                  <c:v>1982</c:v>
                </c:pt>
                <c:pt idx="33">
                  <c:v>1983</c:v>
                </c:pt>
                <c:pt idx="34">
                  <c:v>1984</c:v>
                </c:pt>
                <c:pt idx="35">
                  <c:v>1985</c:v>
                </c:pt>
                <c:pt idx="36">
                  <c:v>1986</c:v>
                </c:pt>
                <c:pt idx="37">
                  <c:v>1987</c:v>
                </c:pt>
                <c:pt idx="38">
                  <c:v>1988</c:v>
                </c:pt>
                <c:pt idx="39">
                  <c:v>1989</c:v>
                </c:pt>
                <c:pt idx="40">
                  <c:v>1990</c:v>
                </c:pt>
                <c:pt idx="41">
                  <c:v>1991</c:v>
                </c:pt>
                <c:pt idx="42">
                  <c:v>1992</c:v>
                </c:pt>
                <c:pt idx="43">
                  <c:v>1993</c:v>
                </c:pt>
                <c:pt idx="44">
                  <c:v>1994</c:v>
                </c:pt>
                <c:pt idx="45">
                  <c:v>1995</c:v>
                </c:pt>
                <c:pt idx="46">
                  <c:v>1996</c:v>
                </c:pt>
                <c:pt idx="47">
                  <c:v>1997</c:v>
                </c:pt>
                <c:pt idx="48">
                  <c:v>1998</c:v>
                </c:pt>
                <c:pt idx="49">
                  <c:v>1999</c:v>
                </c:pt>
              </c:numCache>
            </c:numRef>
          </c:cat>
          <c:val>
            <c:numRef>
              <c:f>Report!$B$2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39434496"/>
        <c:axId val="39445248"/>
      </c:lineChart>
      <c:catAx>
        <c:axId val="39434496"/>
        <c:scaling>
          <c:orientation val="minMax"/>
        </c:scaling>
        <c:axPos val="b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Year</a:t>
                </a:r>
              </a:p>
            </c:rich>
          </c:tx>
          <c:layout/>
        </c:title>
        <c:numFmt formatCode="General" sourceLinked="1"/>
        <c:minorTickMark val="out"/>
        <c:tickLblPos val="nextTo"/>
        <c:crossAx val="39445248"/>
        <c:crosses val="autoZero"/>
        <c:auto val="1"/>
        <c:lblAlgn val="ctr"/>
        <c:lblOffset val="100"/>
        <c:tickLblSkip val="10"/>
        <c:tickMarkSkip val="10"/>
      </c:catAx>
      <c:valAx>
        <c:axId val="39445248"/>
        <c:scaling>
          <c:orientation val="minMax"/>
        </c:scaling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Tornadoes per Year</a:t>
                </a:r>
              </a:p>
            </c:rich>
          </c:tx>
          <c:layout/>
        </c:title>
        <c:numFmt formatCode="General" sourceLinked="1"/>
        <c:tickLblPos val="nextTo"/>
        <c:crossAx val="39434496"/>
        <c:crosses val="autoZero"/>
        <c:crossBetween val="between"/>
      </c:valAx>
      <c:spPr>
        <a:solidFill>
          <a:schemeClr val="bg2">
            <a:lumMod val="90000"/>
          </a:schemeClr>
        </a:solidFill>
      </c:spPr>
    </c:plotArea>
    <c:plotVisOnly val="1"/>
  </c:chart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view3D>
      <c:rAngAx val="1"/>
    </c:view3D>
    <c:plotArea>
      <c:layout/>
      <c:bar3DChart>
        <c:barDir val="col"/>
        <c:grouping val="clustered"/>
        <c:ser>
          <c:idx val="0"/>
          <c:order val="0"/>
          <c:tx>
            <c:strRef>
              <c:f>Data!$L$6</c:f>
              <c:strCache>
                <c:ptCount val="1"/>
                <c:pt idx="0">
                  <c:v>All Tornadoes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cat>
            <c:strRef>
              <c:f>Data!$K$7:$K$11</c:f>
              <c:strCache>
                <c:ptCount val="5"/>
                <c:pt idx="0">
                  <c:v>1950's</c:v>
                </c:pt>
                <c:pt idx="1">
                  <c:v>1960's</c:v>
                </c:pt>
                <c:pt idx="2">
                  <c:v>1970's</c:v>
                </c:pt>
                <c:pt idx="3">
                  <c:v>1980's</c:v>
                </c:pt>
                <c:pt idx="4">
                  <c:v>1990's</c:v>
                </c:pt>
              </c:strCache>
            </c:strRef>
          </c:cat>
          <c:val>
            <c:numRef>
              <c:f>Data!$L$7:$L$11</c:f>
              <c:numCache>
                <c:formatCode>General</c:formatCode>
                <c:ptCount val="5"/>
                <c:pt idx="0">
                  <c:v>428</c:v>
                </c:pt>
                <c:pt idx="1">
                  <c:v>343</c:v>
                </c:pt>
                <c:pt idx="2">
                  <c:v>302</c:v>
                </c:pt>
                <c:pt idx="3">
                  <c:v>343</c:v>
                </c:pt>
                <c:pt idx="4">
                  <c:v>804</c:v>
                </c:pt>
              </c:numCache>
            </c:numRef>
          </c:val>
        </c:ser>
        <c:shape val="box"/>
        <c:axId val="55849344"/>
        <c:axId val="55850880"/>
        <c:axId val="0"/>
      </c:bar3DChart>
      <c:catAx>
        <c:axId val="55849344"/>
        <c:scaling>
          <c:orientation val="minMax"/>
        </c:scaling>
        <c:axPos val="b"/>
        <c:tickLblPos val="nextTo"/>
        <c:crossAx val="55850880"/>
        <c:crosses val="autoZero"/>
        <c:auto val="1"/>
        <c:lblAlgn val="ctr"/>
        <c:lblOffset val="100"/>
      </c:catAx>
      <c:valAx>
        <c:axId val="558508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Tornadoes per Decade</a:t>
                </a:r>
              </a:p>
            </c:rich>
          </c:tx>
          <c:layout/>
        </c:title>
        <c:numFmt formatCode="General" sourceLinked="1"/>
        <c:tickLblPos val="nextTo"/>
        <c:crossAx val="55849344"/>
        <c:crosses val="autoZero"/>
        <c:crossBetween val="between"/>
      </c:valAx>
    </c:plotArea>
    <c:plotVisOnly val="1"/>
  </c:chart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[0]!TornadoLabel</c:f>
          <c:strCache>
            <c:ptCount val="1"/>
            <c:pt idx="0">
              <c:v>All Tornadoes</c:v>
            </c:pt>
          </c:strCache>
        </c:strRef>
      </c:tx>
      <c:layout/>
    </c:title>
    <c:view3D>
      <c:rotX val="20"/>
      <c:rotY val="30"/>
      <c:depthPercent val="600"/>
      <c:perspective val="50"/>
    </c:view3D>
    <c:plotArea>
      <c:layout/>
      <c:bar3DChart>
        <c:barDir val="bar"/>
        <c:grouping val="clustered"/>
        <c:ser>
          <c:idx val="0"/>
          <c:order val="0"/>
          <c:tx>
            <c:strRef>
              <c:f>Data!$O$6</c:f>
              <c:strCache>
                <c:ptCount val="1"/>
                <c:pt idx="0">
                  <c:v>(1950-1974)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cat>
            <c:strRef>
              <c:f>Data!$N$7:$N$17</c:f>
              <c:strCache>
                <c:ptCount val="11"/>
                <c:pt idx="0">
                  <c:v>0-10</c:v>
                </c:pt>
                <c:pt idx="1">
                  <c:v>11-20</c:v>
                </c:pt>
                <c:pt idx="2">
                  <c:v>21-30</c:v>
                </c:pt>
                <c:pt idx="3">
                  <c:v>31-40</c:v>
                </c:pt>
                <c:pt idx="4">
                  <c:v>41-50</c:v>
                </c:pt>
                <c:pt idx="5">
                  <c:v>51-60</c:v>
                </c:pt>
                <c:pt idx="6">
                  <c:v>61-70</c:v>
                </c:pt>
                <c:pt idx="7">
                  <c:v>71-80</c:v>
                </c:pt>
                <c:pt idx="8">
                  <c:v>81-90</c:v>
                </c:pt>
                <c:pt idx="9">
                  <c:v>91-100</c:v>
                </c:pt>
                <c:pt idx="10">
                  <c:v>&gt; 100</c:v>
                </c:pt>
              </c:strCache>
            </c:strRef>
          </c:cat>
          <c:val>
            <c:numRef>
              <c:f>Data!$O$7:$O$17</c:f>
              <c:numCache>
                <c:formatCode>General</c:formatCode>
                <c:ptCount val="11"/>
                <c:pt idx="0">
                  <c:v>0</c:v>
                </c:pt>
                <c:pt idx="1">
                  <c:v>2</c:v>
                </c:pt>
                <c:pt idx="2">
                  <c:v>7</c:v>
                </c:pt>
                <c:pt idx="3">
                  <c:v>5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Data!$P$6</c:f>
              <c:strCache>
                <c:ptCount val="1"/>
                <c:pt idx="0">
                  <c:v>(1975-1999)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cat>
            <c:strRef>
              <c:f>Data!$N$7:$N$17</c:f>
              <c:strCache>
                <c:ptCount val="11"/>
                <c:pt idx="0">
                  <c:v>0-10</c:v>
                </c:pt>
                <c:pt idx="1">
                  <c:v>11-20</c:v>
                </c:pt>
                <c:pt idx="2">
                  <c:v>21-30</c:v>
                </c:pt>
                <c:pt idx="3">
                  <c:v>31-40</c:v>
                </c:pt>
                <c:pt idx="4">
                  <c:v>41-50</c:v>
                </c:pt>
                <c:pt idx="5">
                  <c:v>51-60</c:v>
                </c:pt>
                <c:pt idx="6">
                  <c:v>61-70</c:v>
                </c:pt>
                <c:pt idx="7">
                  <c:v>71-80</c:v>
                </c:pt>
                <c:pt idx="8">
                  <c:v>81-90</c:v>
                </c:pt>
                <c:pt idx="9">
                  <c:v>91-100</c:v>
                </c:pt>
                <c:pt idx="10">
                  <c:v>&gt; 100</c:v>
                </c:pt>
              </c:strCache>
            </c:strRef>
          </c:cat>
          <c:val>
            <c:numRef>
              <c:f>Data!$P$7:$P$17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</c:numCache>
            </c:numRef>
          </c:val>
        </c:ser>
        <c:gapWidth val="91"/>
        <c:shape val="box"/>
        <c:axId val="53072256"/>
        <c:axId val="53074176"/>
        <c:axId val="0"/>
      </c:bar3DChart>
      <c:catAx>
        <c:axId val="5307225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Tornadoes per Year</a:t>
                </a:r>
              </a:p>
            </c:rich>
          </c:tx>
          <c:layout/>
        </c:title>
        <c:tickLblPos val="nextTo"/>
        <c:crossAx val="53074176"/>
        <c:crosses val="autoZero"/>
        <c:auto val="1"/>
        <c:lblAlgn val="ctr"/>
        <c:lblOffset val="100"/>
      </c:catAx>
      <c:valAx>
        <c:axId val="53074176"/>
        <c:scaling>
          <c:orientation val="minMax"/>
        </c:scaling>
        <c:axPos val="b"/>
        <c:majorGridlines/>
        <c:title>
          <c:tx>
            <c:rich>
              <a:bodyPr rot="0" vert="horz"/>
              <a:lstStyle/>
              <a:p>
                <a:pPr>
                  <a:defRPr sz="1200"/>
                </a:pPr>
                <a:r>
                  <a:rPr lang="en-US" sz="1200"/>
                  <a:t>Counts</a:t>
                </a:r>
              </a:p>
            </c:rich>
          </c:tx>
          <c:layout/>
        </c:title>
        <c:numFmt formatCode="General" sourceLinked="1"/>
        <c:tickLblPos val="nextTo"/>
        <c:crossAx val="53072256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sz="1400"/>
          </a:pPr>
          <a:endParaRPr lang="en-US"/>
        </a:p>
      </c:txPr>
    </c:legend>
    <c:plotVisOnly val="1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101" workbookViewId="0" zoomToFit="1"/>
  </sheetViews>
  <pageMargins left="0.7" right="0.7" top="0.75" bottom="0.75" header="0.3" footer="0.3"/>
  <drawing r:id="rId1"/>
  <legacy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101" workbookViewId="0" zoomToFit="1"/>
  </sheetViews>
  <pageMargins left="0.7" right="0.7" top="0.75" bottom="0.75" header="0.3" footer="0.3"/>
  <drawing r:id="rId1"/>
  <legacy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5"/>
  <sheetViews>
    <sheetView zoomScale="101" workbookViewId="0" zoomToFit="1"/>
  </sheetViews>
  <pageMargins left="0.7" right="0.7" top="0.75" bottom="0.75" header="0.3" footer="0.3"/>
  <drawing r:id="rId1"/>
  <legacy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6171" y="-24114"/>
    <xdr:ext cx="8668956" cy="62937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0.66898</cdr:x>
      <cdr:y>0.00383</cdr:y>
    </cdr:from>
    <cdr:to>
      <cdr:x>0.99861</cdr:x>
      <cdr:y>0.0728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99399" y="24114"/>
          <a:ext cx="2857500" cy="43405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noFill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US" sz="1200" b="1"/>
            <a:t>MidWest Center</a:t>
          </a:r>
          <a:r>
            <a:rPr lang="en-US" sz="1200" b="1" baseline="0"/>
            <a:t> for Atmospheric  Science</a:t>
          </a:r>
        </a:p>
        <a:p xmlns:a="http://schemas.openxmlformats.org/drawingml/2006/main">
          <a:r>
            <a:rPr lang="en-US" sz="900" baseline="0"/>
            <a:t>Council Bluffs, Iowa</a:t>
          </a:r>
          <a:endParaRPr lang="en-US" sz="9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8956" cy="62937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0.66898</cdr:x>
      <cdr:y>0</cdr:y>
    </cdr:from>
    <cdr:to>
      <cdr:x>0.99861</cdr:x>
      <cdr:y>0.06897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99399" y="0"/>
          <a:ext cx="2857500" cy="43405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noFill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200" b="1"/>
            <a:t>MidWest Center</a:t>
          </a:r>
          <a:r>
            <a:rPr lang="en-US" sz="1200" b="1" baseline="0"/>
            <a:t> for Atmospheric  Science</a:t>
          </a:r>
        </a:p>
        <a:p xmlns:a="http://schemas.openxmlformats.org/drawingml/2006/main">
          <a:r>
            <a:rPr lang="en-US" sz="900" baseline="0"/>
            <a:t>Council Bluffs, Iowa</a:t>
          </a:r>
          <a:endParaRPr lang="en-US" sz="9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8956" cy="62937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0.67038</cdr:x>
      <cdr:y>0</cdr:y>
    </cdr:from>
    <cdr:to>
      <cdr:x>1</cdr:x>
      <cdr:y>0.06897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835569" y="-36171"/>
          <a:ext cx="2857500" cy="43405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noFill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200" b="1"/>
            <a:t>MidWest Center</a:t>
          </a:r>
          <a:r>
            <a:rPr lang="en-US" sz="1200" b="1" baseline="0"/>
            <a:t> for Atmospheric  Science</a:t>
          </a:r>
        </a:p>
        <a:p xmlns:a="http://schemas.openxmlformats.org/drawingml/2006/main">
          <a:r>
            <a:rPr lang="en-US" sz="900" baseline="0"/>
            <a:t>Council Bluffs, Iowa</a:t>
          </a:r>
          <a:endParaRPr lang="en-US" sz="9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0"/>
  <sheetViews>
    <sheetView tabSelected="1" zoomScale="120" zoomScaleNormal="120" workbookViewId="0">
      <selection activeCell="B1" sqref="B1"/>
    </sheetView>
  </sheetViews>
  <sheetFormatPr defaultRowHeight="12.75"/>
  <cols>
    <col min="1" max="1" width="3.140625" style="10" customWidth="1"/>
    <col min="2" max="2" width="10.140625" style="10" customWidth="1"/>
    <col min="3" max="3" width="34.42578125" style="10" customWidth="1"/>
    <col min="4" max="16384" width="9.140625" style="10"/>
  </cols>
  <sheetData>
    <row r="1" spans="1:9" ht="22.5">
      <c r="A1" s="29"/>
      <c r="B1" s="30" t="s">
        <v>66</v>
      </c>
    </row>
    <row r="2" spans="1:9" ht="15">
      <c r="B2" s="31" t="s">
        <v>67</v>
      </c>
      <c r="F2" s="32"/>
      <c r="G2" s="32"/>
      <c r="H2" s="32"/>
      <c r="I2" s="32"/>
    </row>
    <row r="3" spans="1:9" ht="15">
      <c r="C3" s="12"/>
    </row>
    <row r="4" spans="1:9" ht="22.5">
      <c r="A4" s="12"/>
      <c r="B4" s="35" t="s">
        <v>68</v>
      </c>
      <c r="C4" s="35"/>
    </row>
    <row r="5" spans="1:9" ht="15">
      <c r="C5" s="12"/>
    </row>
    <row r="6" spans="1:9" ht="15">
      <c r="B6" s="13" t="s">
        <v>51</v>
      </c>
      <c r="C6" s="14" t="s">
        <v>71</v>
      </c>
    </row>
    <row r="7" spans="1:9" ht="15">
      <c r="B7" s="13" t="s">
        <v>52</v>
      </c>
      <c r="C7" s="15">
        <v>40501</v>
      </c>
    </row>
    <row r="8" spans="1:9" ht="45">
      <c r="A8" s="12"/>
      <c r="B8" s="13" t="s">
        <v>53</v>
      </c>
      <c r="C8" s="16" t="s">
        <v>70</v>
      </c>
    </row>
    <row r="9" spans="1:9" ht="15">
      <c r="A9" s="12"/>
    </row>
    <row r="10" spans="1:9" ht="15">
      <c r="A10" s="12"/>
      <c r="B10" s="12"/>
      <c r="C10" s="12"/>
    </row>
  </sheetData>
  <mergeCells count="1">
    <mergeCell ref="B4:C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H13"/>
  <sheetViews>
    <sheetView showGridLines="0" showRowColHeaders="0" zoomScale="120" zoomScaleNormal="120" workbookViewId="0">
      <selection activeCell="C6" sqref="C6"/>
    </sheetView>
  </sheetViews>
  <sheetFormatPr defaultRowHeight="12.75"/>
  <cols>
    <col min="1" max="1" width="3.7109375" customWidth="1"/>
    <col min="2" max="2" width="10.85546875" customWidth="1"/>
    <col min="3" max="3" width="12.5703125" customWidth="1"/>
    <col min="5" max="5" width="4.5703125" customWidth="1"/>
    <col min="7" max="7" width="13.85546875" customWidth="1"/>
    <col min="8" max="8" width="14.5703125" customWidth="1"/>
  </cols>
  <sheetData>
    <row r="1" spans="2:8" ht="22.5">
      <c r="B1" s="33" t="s">
        <v>66</v>
      </c>
    </row>
    <row r="2" spans="2:8" ht="15">
      <c r="B2" s="34" t="s">
        <v>67</v>
      </c>
    </row>
    <row r="4" spans="2:8" ht="22.5">
      <c r="B4" s="23" t="s">
        <v>54</v>
      </c>
    </row>
    <row r="6" spans="2:8" ht="15">
      <c r="B6" s="24" t="s">
        <v>65</v>
      </c>
      <c r="C6" s="26" t="str">
        <f>TornadoLabel</f>
        <v>All Tornadoes</v>
      </c>
      <c r="F6" s="24" t="s">
        <v>55</v>
      </c>
    </row>
    <row r="7" spans="2:8">
      <c r="F7" s="28" t="s">
        <v>56</v>
      </c>
      <c r="G7" s="28" t="s">
        <v>57</v>
      </c>
      <c r="H7" s="28" t="s">
        <v>58</v>
      </c>
    </row>
    <row r="8" spans="2:8">
      <c r="F8" s="25" t="s">
        <v>1</v>
      </c>
      <c r="G8" s="25" t="s">
        <v>59</v>
      </c>
      <c r="H8" s="25" t="s">
        <v>7</v>
      </c>
    </row>
    <row r="9" spans="2:8">
      <c r="F9" s="27" t="s">
        <v>2</v>
      </c>
      <c r="G9" s="27" t="s">
        <v>60</v>
      </c>
      <c r="H9" s="27" t="s">
        <v>8</v>
      </c>
    </row>
    <row r="10" spans="2:8">
      <c r="F10" s="25" t="s">
        <v>3</v>
      </c>
      <c r="G10" s="25" t="s">
        <v>61</v>
      </c>
      <c r="H10" s="25" t="s">
        <v>9</v>
      </c>
    </row>
    <row r="11" spans="2:8">
      <c r="F11" s="27" t="s">
        <v>4</v>
      </c>
      <c r="G11" s="27" t="s">
        <v>62</v>
      </c>
      <c r="H11" s="27" t="s">
        <v>10</v>
      </c>
    </row>
    <row r="12" spans="2:8">
      <c r="F12" s="25" t="s">
        <v>5</v>
      </c>
      <c r="G12" s="25" t="s">
        <v>63</v>
      </c>
      <c r="H12" s="25" t="s">
        <v>11</v>
      </c>
    </row>
    <row r="13" spans="2:8">
      <c r="F13" s="27" t="s">
        <v>6</v>
      </c>
      <c r="G13" s="27" t="s">
        <v>64</v>
      </c>
      <c r="H13" s="27" t="s">
        <v>12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B1:D14"/>
  <sheetViews>
    <sheetView showGridLines="0" zoomScale="120" zoomScaleNormal="120" workbookViewId="0">
      <selection activeCell="B6" sqref="B6"/>
    </sheetView>
  </sheetViews>
  <sheetFormatPr defaultRowHeight="12.75"/>
  <cols>
    <col min="1" max="1" width="3.28515625" style="17" customWidth="1"/>
    <col min="2" max="2" width="18.140625" style="17" customWidth="1"/>
    <col min="3" max="3" width="12.42578125" style="17" customWidth="1"/>
    <col min="4" max="4" width="14.28515625" style="17" customWidth="1"/>
    <col min="5" max="16384" width="9.140625" style="17"/>
  </cols>
  <sheetData>
    <row r="1" spans="2:4" ht="22.5">
      <c r="B1" s="33" t="s">
        <v>66</v>
      </c>
    </row>
    <row r="2" spans="2:4" ht="15">
      <c r="B2" s="34" t="s">
        <v>67</v>
      </c>
    </row>
    <row r="4" spans="2:4" ht="20.25" customHeight="1">
      <c r="B4" s="36" t="s">
        <v>26</v>
      </c>
      <c r="C4" s="36"/>
      <c r="D4" s="36"/>
    </row>
    <row r="5" spans="2:4" ht="24.75" customHeight="1">
      <c r="B5" s="21" t="s">
        <v>40</v>
      </c>
      <c r="C5" s="37" t="str">
        <f>TornadoLabel</f>
        <v>All Tornadoes</v>
      </c>
      <c r="D5" s="37"/>
    </row>
    <row r="6" spans="2:4" ht="15">
      <c r="B6" s="18"/>
      <c r="C6" s="11" t="s">
        <v>41</v>
      </c>
      <c r="D6" s="11" t="s">
        <v>42</v>
      </c>
    </row>
    <row r="7" spans="2:4">
      <c r="B7" s="22" t="s">
        <v>43</v>
      </c>
      <c r="C7" s="19">
        <f ca="1">COUNT(OFFSET(TornadoData,0,0,25,1))</f>
        <v>25</v>
      </c>
      <c r="D7" s="19">
        <f ca="1">COUNT(OFFSET(TornadoData,25,0,25,1))</f>
        <v>25</v>
      </c>
    </row>
    <row r="8" spans="2:4">
      <c r="B8" s="22" t="s">
        <v>44</v>
      </c>
      <c r="C8" s="19">
        <f ca="1">AVERAGE(OFFSET(TornadoData,0,0,25,1))</f>
        <v>38.92</v>
      </c>
      <c r="D8" s="19">
        <f ca="1">AVERAGE(OFFSET(TornadoData,25,0,25,1))</f>
        <v>49.88</v>
      </c>
    </row>
    <row r="9" spans="2:4">
      <c r="B9" s="22" t="s">
        <v>45</v>
      </c>
      <c r="C9" s="19">
        <f ca="1">MEDIAN(OFFSET(TornadoData,0,0,25,1))</f>
        <v>38</v>
      </c>
      <c r="D9" s="19">
        <f ca="1">MEDIAN(OFFSET(TornadoData,25,0,25,1))</f>
        <v>39</v>
      </c>
    </row>
    <row r="10" spans="2:4">
      <c r="B10" s="22" t="s">
        <v>46</v>
      </c>
      <c r="C10" s="19">
        <f ca="1">MIN(OFFSET(TornadoData,0,0,25,1))</f>
        <v>16</v>
      </c>
      <c r="D10" s="19">
        <f ca="1">MIN(OFFSET(TornadoData,25,0,25,1))</f>
        <v>16</v>
      </c>
    </row>
    <row r="11" spans="2:4">
      <c r="B11" s="22" t="s">
        <v>47</v>
      </c>
      <c r="C11" s="19">
        <f ca="1">MAX(OFFSET(TornadoData,0,0,25,1))</f>
        <v>69</v>
      </c>
      <c r="D11" s="19">
        <f ca="1">MAX(OFFSET(TornadoData,25,0,25,1))</f>
        <v>118</v>
      </c>
    </row>
    <row r="12" spans="2:4">
      <c r="B12" s="22" t="s">
        <v>48</v>
      </c>
      <c r="C12" s="19">
        <f ca="1">C11-C10</f>
        <v>53</v>
      </c>
      <c r="D12" s="19">
        <f ca="1">D11-D10</f>
        <v>102</v>
      </c>
    </row>
    <row r="13" spans="2:4">
      <c r="B13" s="22" t="s">
        <v>49</v>
      </c>
      <c r="C13" s="20">
        <f ca="1">STDEV(OFFSET(TornadoData,0,0,25,1))</f>
        <v>14.424862795419113</v>
      </c>
      <c r="D13" s="20">
        <f ca="1">STDEV(OFFSET(TornadoData,25,0,25,1))</f>
        <v>31.395753428343351</v>
      </c>
    </row>
    <row r="14" spans="2:4">
      <c r="B14" s="22" t="s">
        <v>50</v>
      </c>
      <c r="C14" s="20">
        <f ca="1">VAR(OFFSET(TornadoData,0,0,25,1))</f>
        <v>208.07666666666651</v>
      </c>
      <c r="D14" s="20">
        <f ca="1">VAR(OFFSET(TornadoData,25,0,25,1))</f>
        <v>985.69333333333327</v>
      </c>
    </row>
  </sheetData>
  <mergeCells count="2">
    <mergeCell ref="B4:D4"/>
    <mergeCell ref="C5:D5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B1:P56"/>
  <sheetViews>
    <sheetView zoomScale="120" zoomScaleNormal="120" workbookViewId="0"/>
  </sheetViews>
  <sheetFormatPr defaultRowHeight="12.75"/>
  <cols>
    <col min="1" max="1" width="3.28515625" customWidth="1"/>
    <col min="2" max="2" width="5.140625" bestFit="1" customWidth="1"/>
    <col min="3" max="8" width="13.42578125" bestFit="1" customWidth="1"/>
    <col min="9" max="9" width="13.7109375" bestFit="1" customWidth="1"/>
    <col min="10" max="10" width="5.140625" customWidth="1"/>
    <col min="12" max="12" width="16.85546875" customWidth="1"/>
    <col min="14" max="14" width="20.28515625" customWidth="1"/>
    <col min="15" max="15" width="10.42578125" customWidth="1"/>
    <col min="16" max="16" width="11.42578125" customWidth="1"/>
  </cols>
  <sheetData>
    <row r="1" spans="2:16" ht="22.5">
      <c r="B1" s="33" t="s">
        <v>66</v>
      </c>
    </row>
    <row r="2" spans="2:16" ht="15">
      <c r="B2" s="34" t="s">
        <v>67</v>
      </c>
    </row>
    <row r="4" spans="2:16" ht="22.5">
      <c r="B4" s="23" t="s">
        <v>69</v>
      </c>
    </row>
    <row r="6" spans="2:16" ht="15">
      <c r="B6" s="1" t="s">
        <v>0</v>
      </c>
      <c r="C6" s="1" t="s">
        <v>13</v>
      </c>
      <c r="D6" s="1" t="s">
        <v>14</v>
      </c>
      <c r="E6" s="1" t="s">
        <v>15</v>
      </c>
      <c r="F6" s="1" t="s">
        <v>16</v>
      </c>
      <c r="G6" s="1" t="s">
        <v>17</v>
      </c>
      <c r="H6" s="1" t="s">
        <v>18</v>
      </c>
      <c r="I6" s="1" t="s">
        <v>19</v>
      </c>
      <c r="J6" s="1"/>
      <c r="K6" s="1" t="s">
        <v>20</v>
      </c>
      <c r="L6" s="1" t="str">
        <f>TornadoLabel</f>
        <v>All Tornadoes</v>
      </c>
      <c r="N6" s="3" t="s">
        <v>26</v>
      </c>
      <c r="O6" s="3" t="s">
        <v>27</v>
      </c>
      <c r="P6" s="3" t="s">
        <v>28</v>
      </c>
    </row>
    <row r="7" spans="2:16">
      <c r="B7">
        <v>1950</v>
      </c>
      <c r="C7">
        <v>5</v>
      </c>
      <c r="D7">
        <v>11</v>
      </c>
      <c r="E7">
        <v>9</v>
      </c>
      <c r="F7">
        <v>2</v>
      </c>
      <c r="G7">
        <v>2</v>
      </c>
      <c r="H7">
        <v>0</v>
      </c>
      <c r="I7">
        <f>SUM(C7:H7)</f>
        <v>29</v>
      </c>
      <c r="K7" s="2" t="s">
        <v>21</v>
      </c>
      <c r="L7">
        <f>SUMIF(Year,"&lt;1960",TornadoData)</f>
        <v>428</v>
      </c>
      <c r="N7" s="4" t="s">
        <v>29</v>
      </c>
      <c r="O7" s="5">
        <f ca="1">COUNTIF(OFFSET(TornadoData,0,0,25,1),"&lt;=10")</f>
        <v>0</v>
      </c>
      <c r="P7" s="5">
        <f ca="1">COUNTIF(OFFSET(TornadoData,25,0,25,1),"&lt;=10")</f>
        <v>0</v>
      </c>
    </row>
    <row r="8" spans="2:16">
      <c r="B8">
        <v>1951</v>
      </c>
      <c r="C8">
        <v>7</v>
      </c>
      <c r="D8">
        <v>20</v>
      </c>
      <c r="E8">
        <v>13</v>
      </c>
      <c r="F8">
        <v>6</v>
      </c>
      <c r="G8">
        <v>1</v>
      </c>
      <c r="H8">
        <v>0</v>
      </c>
      <c r="I8">
        <f t="shared" ref="I8:I56" si="0">SUM(C8:H8)</f>
        <v>47</v>
      </c>
      <c r="K8" s="2" t="s">
        <v>22</v>
      </c>
      <c r="L8">
        <f>SUMIF(Year,"&lt;1970",TornadoData)-SUM(L$7:L7)</f>
        <v>343</v>
      </c>
      <c r="N8" s="6" t="s">
        <v>30</v>
      </c>
      <c r="O8" s="5">
        <f ca="1">COUNTIF(OFFSET(TornadoData,0,0,25,1),"&lt;=20")-O7</f>
        <v>2</v>
      </c>
      <c r="P8" s="5">
        <f ca="1">COUNTIF(OFFSET(TornadoData,25,0,25,1),"&lt;=20")-P7</f>
        <v>5</v>
      </c>
    </row>
    <row r="9" spans="2:16">
      <c r="B9">
        <v>1952</v>
      </c>
      <c r="C9">
        <v>3</v>
      </c>
      <c r="D9">
        <v>4</v>
      </c>
      <c r="E9">
        <v>7</v>
      </c>
      <c r="F9">
        <v>1</v>
      </c>
      <c r="G9">
        <v>1</v>
      </c>
      <c r="H9">
        <v>0</v>
      </c>
      <c r="I9">
        <f t="shared" si="0"/>
        <v>16</v>
      </c>
      <c r="K9" s="2" t="s">
        <v>23</v>
      </c>
      <c r="L9">
        <f>SUMIF(Year,"&lt;1980",TornadoData)-SUM(L$7:L8)</f>
        <v>302</v>
      </c>
      <c r="N9" s="7" t="s">
        <v>31</v>
      </c>
      <c r="O9" s="5">
        <f ca="1">COUNTIF(OFFSET(TornadoData,0,0,25,1),"&lt;=30")-SUM(O7:O8)</f>
        <v>7</v>
      </c>
      <c r="P9" s="5">
        <f ca="1">COUNTIF(OFFSET(TornadoData,25,0,25,1),"&lt;=30")-SUM(P7:P8)</f>
        <v>4</v>
      </c>
    </row>
    <row r="10" spans="2:16">
      <c r="B10">
        <v>1953</v>
      </c>
      <c r="C10">
        <v>6</v>
      </c>
      <c r="D10">
        <v>13</v>
      </c>
      <c r="E10">
        <v>7</v>
      </c>
      <c r="F10">
        <v>2</v>
      </c>
      <c r="G10">
        <v>0</v>
      </c>
      <c r="H10">
        <v>0</v>
      </c>
      <c r="I10">
        <f t="shared" si="0"/>
        <v>28</v>
      </c>
      <c r="K10" s="2" t="s">
        <v>24</v>
      </c>
      <c r="L10">
        <f>SUMIF(Year,"&lt;1990",TornadoData)-SUM(L$7:L9)</f>
        <v>343</v>
      </c>
      <c r="N10" s="7" t="s">
        <v>32</v>
      </c>
      <c r="O10" s="5">
        <f ca="1">COUNTIF(OFFSET(TornadoData,0,0,25,1),"&lt;=40")-SUM(O7:O9)</f>
        <v>5</v>
      </c>
      <c r="P10" s="5">
        <f ca="1">COUNTIF(OFFSET(TornadoData,25,0,25,1),"&lt;=40")-SUM(P7:P9)</f>
        <v>4</v>
      </c>
    </row>
    <row r="11" spans="2:16">
      <c r="B11">
        <v>1954</v>
      </c>
      <c r="C11">
        <v>10</v>
      </c>
      <c r="D11">
        <v>20</v>
      </c>
      <c r="E11">
        <v>25</v>
      </c>
      <c r="F11">
        <v>1</v>
      </c>
      <c r="G11">
        <v>0</v>
      </c>
      <c r="H11">
        <v>0</v>
      </c>
      <c r="I11">
        <f t="shared" si="0"/>
        <v>56</v>
      </c>
      <c r="K11" s="2" t="s">
        <v>25</v>
      </c>
      <c r="L11">
        <f>SUMIF(Year,"&lt;2000",TornadoData)-SUM(L$7:L10)</f>
        <v>804</v>
      </c>
      <c r="N11" s="7" t="s">
        <v>33</v>
      </c>
      <c r="O11" s="5">
        <f ca="1">COUNTIF(OFFSET(TornadoData,0,0,25,1),"&lt;=50")-SUM(O7:O10)</f>
        <v>6</v>
      </c>
      <c r="P11" s="5">
        <f ca="1">COUNTIF(OFFSET(TornadoData,25,0,25,1),"&lt;=50")-SUM(P7:P10)</f>
        <v>1</v>
      </c>
    </row>
    <row r="12" spans="2:16">
      <c r="B12">
        <v>1955</v>
      </c>
      <c r="C12">
        <v>31</v>
      </c>
      <c r="D12">
        <v>21</v>
      </c>
      <c r="E12">
        <v>10</v>
      </c>
      <c r="F12">
        <v>2</v>
      </c>
      <c r="G12">
        <v>3</v>
      </c>
      <c r="H12">
        <v>2</v>
      </c>
      <c r="I12">
        <f t="shared" si="0"/>
        <v>69</v>
      </c>
      <c r="N12" s="7" t="s">
        <v>34</v>
      </c>
      <c r="O12" s="5">
        <f ca="1">COUNTIF(OFFSET(TornadoData,0,0,25,1),"&lt;=60")-SUM(O7:O11)</f>
        <v>3</v>
      </c>
      <c r="P12" s="5">
        <f ca="1">COUNTIF(OFFSET(TornadoData,25,0,25,1),"&lt;=60")-SUM(P7:P11)</f>
        <v>1</v>
      </c>
    </row>
    <row r="13" spans="2:16">
      <c r="B13">
        <v>1956</v>
      </c>
      <c r="C13">
        <v>14</v>
      </c>
      <c r="D13">
        <v>13</v>
      </c>
      <c r="E13">
        <v>9</v>
      </c>
      <c r="F13">
        <v>8</v>
      </c>
      <c r="G13">
        <v>3</v>
      </c>
      <c r="H13">
        <v>0</v>
      </c>
      <c r="I13">
        <f t="shared" si="0"/>
        <v>47</v>
      </c>
      <c r="N13" s="7" t="s">
        <v>35</v>
      </c>
      <c r="O13" s="5">
        <f ca="1">COUNTIF(OFFSET(TornadoData,0,0,25,1),"&lt;=70")-SUM(O7:O12)</f>
        <v>2</v>
      </c>
      <c r="P13" s="5">
        <f ca="1">COUNTIF(OFFSET(TornadoData,25,0,25,1),"&lt;=70")-SUM(P7:P12)</f>
        <v>4</v>
      </c>
    </row>
    <row r="14" spans="2:16">
      <c r="B14">
        <v>1957</v>
      </c>
      <c r="C14">
        <v>17</v>
      </c>
      <c r="D14">
        <v>11</v>
      </c>
      <c r="E14">
        <v>6</v>
      </c>
      <c r="F14">
        <v>4</v>
      </c>
      <c r="G14">
        <v>1</v>
      </c>
      <c r="H14">
        <v>2</v>
      </c>
      <c r="I14">
        <f t="shared" si="0"/>
        <v>41</v>
      </c>
      <c r="N14" s="7" t="s">
        <v>36</v>
      </c>
      <c r="O14" s="5">
        <f ca="1">COUNTIF(OFFSET(TornadoData,0,0,25,1),"&lt;=80")-SUM(O7:O13)</f>
        <v>0</v>
      </c>
      <c r="P14" s="5">
        <f ca="1">COUNTIF(OFFSET(TornadoData,25,0,25,1),"&lt;=80")-SUM(P7:P13)</f>
        <v>2</v>
      </c>
    </row>
    <row r="15" spans="2:16">
      <c r="B15">
        <v>1958</v>
      </c>
      <c r="C15">
        <v>6</v>
      </c>
      <c r="D15">
        <v>10</v>
      </c>
      <c r="E15">
        <v>16</v>
      </c>
      <c r="F15">
        <v>3</v>
      </c>
      <c r="G15">
        <v>1</v>
      </c>
      <c r="H15">
        <v>0</v>
      </c>
      <c r="I15">
        <f t="shared" si="0"/>
        <v>36</v>
      </c>
      <c r="N15" s="7" t="s">
        <v>37</v>
      </c>
      <c r="O15" s="5">
        <f ca="1">COUNTIF(OFFSET(TornadoData,0,0,25,1),"&lt;=90")-SUM(O7:O14)</f>
        <v>0</v>
      </c>
      <c r="P15" s="5">
        <f ca="1">COUNTIF(OFFSET(TornadoData,25,0,25,1),"&lt;=90")-SUM(P7:P14)</f>
        <v>1</v>
      </c>
    </row>
    <row r="16" spans="2:16">
      <c r="B16">
        <v>1959</v>
      </c>
      <c r="C16">
        <v>16</v>
      </c>
      <c r="D16">
        <v>24</v>
      </c>
      <c r="E16">
        <v>16</v>
      </c>
      <c r="F16">
        <v>2</v>
      </c>
      <c r="G16">
        <v>1</v>
      </c>
      <c r="H16">
        <v>0</v>
      </c>
      <c r="I16">
        <f t="shared" si="0"/>
        <v>59</v>
      </c>
      <c r="N16" s="7" t="s">
        <v>38</v>
      </c>
      <c r="O16" s="5">
        <f ca="1">COUNTIF(OFFSET(TornadoData,0,0,25,1),"&lt;=100")-SUM(O7:O15)</f>
        <v>0</v>
      </c>
      <c r="P16" s="5">
        <f ca="1">COUNTIF(OFFSET(TornadoData,25,0,25,1),"&lt;=100")-SUM(P7:P15)</f>
        <v>1</v>
      </c>
    </row>
    <row r="17" spans="2:16" ht="13.5" thickBot="1">
      <c r="B17">
        <v>1960</v>
      </c>
      <c r="C17">
        <v>10</v>
      </c>
      <c r="D17">
        <v>14</v>
      </c>
      <c r="E17">
        <v>14</v>
      </c>
      <c r="F17">
        <v>7</v>
      </c>
      <c r="G17">
        <v>2</v>
      </c>
      <c r="H17">
        <v>0</v>
      </c>
      <c r="I17">
        <f t="shared" si="0"/>
        <v>47</v>
      </c>
      <c r="N17" s="8" t="s">
        <v>39</v>
      </c>
      <c r="O17" s="9">
        <f ca="1">COUNTIF(OFFSET(TornadoData,0,0,25,1),"&gt;100")</f>
        <v>0</v>
      </c>
      <c r="P17" s="9">
        <f ca="1">COUNTIF(OFFSET(TornadoData,25,0,25,1),"&gt;100")</f>
        <v>2</v>
      </c>
    </row>
    <row r="18" spans="2:16" ht="13.5" thickTop="1">
      <c r="B18">
        <v>1961</v>
      </c>
      <c r="C18">
        <v>7</v>
      </c>
      <c r="D18">
        <v>12</v>
      </c>
      <c r="E18">
        <v>11</v>
      </c>
      <c r="F18">
        <v>0</v>
      </c>
      <c r="G18">
        <v>1</v>
      </c>
      <c r="H18">
        <v>0</v>
      </c>
      <c r="I18">
        <f t="shared" si="0"/>
        <v>31</v>
      </c>
    </row>
    <row r="19" spans="2:16">
      <c r="B19">
        <v>1962</v>
      </c>
      <c r="C19">
        <v>7</v>
      </c>
      <c r="D19">
        <v>17</v>
      </c>
      <c r="E19">
        <v>17</v>
      </c>
      <c r="F19">
        <v>5</v>
      </c>
      <c r="G19">
        <v>1</v>
      </c>
      <c r="H19">
        <v>0</v>
      </c>
      <c r="I19">
        <f t="shared" si="0"/>
        <v>47</v>
      </c>
    </row>
    <row r="20" spans="2:16">
      <c r="B20">
        <v>1963</v>
      </c>
      <c r="C20">
        <v>14</v>
      </c>
      <c r="D20">
        <v>6</v>
      </c>
      <c r="E20">
        <v>7</v>
      </c>
      <c r="F20">
        <v>0</v>
      </c>
      <c r="G20">
        <v>0</v>
      </c>
      <c r="H20">
        <v>0</v>
      </c>
      <c r="I20">
        <f t="shared" si="0"/>
        <v>27</v>
      </c>
    </row>
    <row r="21" spans="2:16">
      <c r="B21">
        <v>1964</v>
      </c>
      <c r="C21">
        <v>9</v>
      </c>
      <c r="D21">
        <v>20</v>
      </c>
      <c r="E21">
        <v>22</v>
      </c>
      <c r="F21">
        <v>9</v>
      </c>
      <c r="G21">
        <v>1</v>
      </c>
      <c r="H21">
        <v>0</v>
      </c>
      <c r="I21">
        <f t="shared" si="0"/>
        <v>61</v>
      </c>
    </row>
    <row r="22" spans="2:16">
      <c r="B22">
        <v>1965</v>
      </c>
      <c r="C22">
        <v>12</v>
      </c>
      <c r="D22">
        <v>12</v>
      </c>
      <c r="E22">
        <v>7</v>
      </c>
      <c r="F22">
        <v>6</v>
      </c>
      <c r="G22">
        <v>1</v>
      </c>
      <c r="H22">
        <v>0</v>
      </c>
      <c r="I22">
        <f t="shared" si="0"/>
        <v>38</v>
      </c>
    </row>
    <row r="23" spans="2:16">
      <c r="B23">
        <v>1966</v>
      </c>
      <c r="C23">
        <v>14</v>
      </c>
      <c r="D23">
        <v>5</v>
      </c>
      <c r="E23">
        <v>5</v>
      </c>
      <c r="F23">
        <v>4</v>
      </c>
      <c r="G23">
        <v>1</v>
      </c>
      <c r="H23">
        <v>1</v>
      </c>
      <c r="I23">
        <f t="shared" si="0"/>
        <v>30</v>
      </c>
    </row>
    <row r="24" spans="2:16">
      <c r="B24">
        <v>1967</v>
      </c>
      <c r="C24">
        <v>9</v>
      </c>
      <c r="D24">
        <v>8</v>
      </c>
      <c r="E24">
        <v>3</v>
      </c>
      <c r="F24">
        <v>3</v>
      </c>
      <c r="G24">
        <v>0</v>
      </c>
      <c r="H24">
        <v>0</v>
      </c>
      <c r="I24">
        <f t="shared" si="0"/>
        <v>23</v>
      </c>
    </row>
    <row r="25" spans="2:16">
      <c r="B25">
        <v>1968</v>
      </c>
      <c r="C25">
        <v>8</v>
      </c>
      <c r="D25">
        <v>3</v>
      </c>
      <c r="E25">
        <v>5</v>
      </c>
      <c r="F25">
        <v>5</v>
      </c>
      <c r="G25">
        <v>0</v>
      </c>
      <c r="H25">
        <v>0</v>
      </c>
      <c r="I25">
        <f t="shared" si="0"/>
        <v>21</v>
      </c>
    </row>
    <row r="26" spans="2:16">
      <c r="B26">
        <v>1969</v>
      </c>
      <c r="C26">
        <v>7</v>
      </c>
      <c r="D26">
        <v>4</v>
      </c>
      <c r="E26">
        <v>4</v>
      </c>
      <c r="F26">
        <v>2</v>
      </c>
      <c r="G26">
        <v>1</v>
      </c>
      <c r="H26">
        <v>0</v>
      </c>
      <c r="I26">
        <f t="shared" si="0"/>
        <v>18</v>
      </c>
    </row>
    <row r="27" spans="2:16">
      <c r="B27">
        <v>1970</v>
      </c>
      <c r="C27">
        <v>10</v>
      </c>
      <c r="D27">
        <v>7</v>
      </c>
      <c r="E27">
        <v>8</v>
      </c>
      <c r="F27">
        <v>2</v>
      </c>
      <c r="G27">
        <v>0</v>
      </c>
      <c r="H27">
        <v>0</v>
      </c>
      <c r="I27">
        <f t="shared" si="0"/>
        <v>27</v>
      </c>
    </row>
    <row r="28" spans="2:16">
      <c r="B28">
        <v>1971</v>
      </c>
      <c r="C28">
        <v>4</v>
      </c>
      <c r="D28">
        <v>19</v>
      </c>
      <c r="E28">
        <v>13</v>
      </c>
      <c r="F28">
        <v>4</v>
      </c>
      <c r="G28">
        <v>0</v>
      </c>
      <c r="H28">
        <v>0</v>
      </c>
      <c r="I28">
        <f t="shared" si="0"/>
        <v>40</v>
      </c>
    </row>
    <row r="29" spans="2:16">
      <c r="B29">
        <v>1972</v>
      </c>
      <c r="C29">
        <v>3</v>
      </c>
      <c r="D29">
        <v>16</v>
      </c>
      <c r="E29">
        <v>18</v>
      </c>
      <c r="F29">
        <v>7</v>
      </c>
      <c r="G29">
        <v>1</v>
      </c>
      <c r="H29">
        <v>0</v>
      </c>
      <c r="I29">
        <f t="shared" si="0"/>
        <v>45</v>
      </c>
    </row>
    <row r="30" spans="2:16">
      <c r="B30">
        <v>1973</v>
      </c>
      <c r="C30">
        <v>9</v>
      </c>
      <c r="D30">
        <v>17</v>
      </c>
      <c r="E30">
        <v>23</v>
      </c>
      <c r="F30">
        <v>9</v>
      </c>
      <c r="G30">
        <v>0</v>
      </c>
      <c r="H30">
        <v>0</v>
      </c>
      <c r="I30">
        <f t="shared" si="0"/>
        <v>58</v>
      </c>
    </row>
    <row r="31" spans="2:16">
      <c r="B31">
        <v>1974</v>
      </c>
      <c r="C31">
        <v>11</v>
      </c>
      <c r="D31">
        <v>9</v>
      </c>
      <c r="E31">
        <v>10</v>
      </c>
      <c r="F31">
        <v>1</v>
      </c>
      <c r="G31">
        <v>1</v>
      </c>
      <c r="H31">
        <v>0</v>
      </c>
      <c r="I31">
        <f t="shared" si="0"/>
        <v>32</v>
      </c>
    </row>
    <row r="32" spans="2:16">
      <c r="B32">
        <v>1975</v>
      </c>
      <c r="C32">
        <v>10</v>
      </c>
      <c r="D32">
        <v>6</v>
      </c>
      <c r="E32">
        <v>0</v>
      </c>
      <c r="F32">
        <v>1</v>
      </c>
      <c r="G32">
        <v>0</v>
      </c>
      <c r="H32">
        <v>0</v>
      </c>
      <c r="I32">
        <f t="shared" si="0"/>
        <v>17</v>
      </c>
    </row>
    <row r="33" spans="2:9">
      <c r="B33">
        <v>1976</v>
      </c>
      <c r="C33">
        <v>3</v>
      </c>
      <c r="D33">
        <v>10</v>
      </c>
      <c r="E33">
        <v>2</v>
      </c>
      <c r="F33">
        <v>0</v>
      </c>
      <c r="G33">
        <v>1</v>
      </c>
      <c r="H33">
        <v>0</v>
      </c>
      <c r="I33">
        <f t="shared" si="0"/>
        <v>16</v>
      </c>
    </row>
    <row r="34" spans="2:9">
      <c r="B34">
        <v>1977</v>
      </c>
      <c r="C34">
        <v>3</v>
      </c>
      <c r="D34">
        <v>8</v>
      </c>
      <c r="E34">
        <v>4</v>
      </c>
      <c r="F34">
        <v>1</v>
      </c>
      <c r="G34">
        <v>0</v>
      </c>
      <c r="H34">
        <v>0</v>
      </c>
      <c r="I34">
        <f t="shared" si="0"/>
        <v>16</v>
      </c>
    </row>
    <row r="35" spans="2:9">
      <c r="B35">
        <v>1978</v>
      </c>
      <c r="C35">
        <v>13</v>
      </c>
      <c r="D35">
        <v>5</v>
      </c>
      <c r="E35">
        <v>3</v>
      </c>
      <c r="F35">
        <v>1</v>
      </c>
      <c r="G35">
        <v>0</v>
      </c>
      <c r="H35">
        <v>0</v>
      </c>
      <c r="I35">
        <f t="shared" si="0"/>
        <v>22</v>
      </c>
    </row>
    <row r="36" spans="2:9">
      <c r="B36">
        <v>1979</v>
      </c>
      <c r="C36">
        <v>13</v>
      </c>
      <c r="D36">
        <v>12</v>
      </c>
      <c r="E36">
        <v>4</v>
      </c>
      <c r="F36">
        <v>0</v>
      </c>
      <c r="G36">
        <v>0</v>
      </c>
      <c r="H36">
        <v>0</v>
      </c>
      <c r="I36">
        <f t="shared" si="0"/>
        <v>29</v>
      </c>
    </row>
    <row r="37" spans="2:9">
      <c r="B37">
        <v>1980</v>
      </c>
      <c r="C37">
        <v>9</v>
      </c>
      <c r="D37">
        <v>6</v>
      </c>
      <c r="E37">
        <v>2</v>
      </c>
      <c r="F37">
        <v>2</v>
      </c>
      <c r="G37">
        <v>0</v>
      </c>
      <c r="H37">
        <v>0</v>
      </c>
      <c r="I37">
        <f t="shared" si="0"/>
        <v>19</v>
      </c>
    </row>
    <row r="38" spans="2:9">
      <c r="B38">
        <v>1981</v>
      </c>
      <c r="C38">
        <v>17</v>
      </c>
      <c r="D38">
        <v>17</v>
      </c>
      <c r="E38">
        <v>4</v>
      </c>
      <c r="F38">
        <v>1</v>
      </c>
      <c r="G38">
        <v>0</v>
      </c>
      <c r="H38">
        <v>0</v>
      </c>
      <c r="I38">
        <f t="shared" si="0"/>
        <v>39</v>
      </c>
    </row>
    <row r="39" spans="2:9">
      <c r="B39">
        <v>1982</v>
      </c>
      <c r="C39">
        <v>33</v>
      </c>
      <c r="D39">
        <v>14</v>
      </c>
      <c r="E39">
        <v>6</v>
      </c>
      <c r="F39">
        <v>7</v>
      </c>
      <c r="G39">
        <v>0</v>
      </c>
      <c r="H39">
        <v>0</v>
      </c>
      <c r="I39">
        <f t="shared" si="0"/>
        <v>60</v>
      </c>
    </row>
    <row r="40" spans="2:9">
      <c r="B40">
        <v>1983</v>
      </c>
      <c r="C40">
        <v>25</v>
      </c>
      <c r="D40">
        <v>3</v>
      </c>
      <c r="E40">
        <v>1</v>
      </c>
      <c r="F40">
        <v>2</v>
      </c>
      <c r="G40">
        <v>0</v>
      </c>
      <c r="H40">
        <v>0</v>
      </c>
      <c r="I40">
        <f t="shared" si="0"/>
        <v>31</v>
      </c>
    </row>
    <row r="41" spans="2:9">
      <c r="B41">
        <v>1984</v>
      </c>
      <c r="C41">
        <v>43</v>
      </c>
      <c r="D41">
        <v>13</v>
      </c>
      <c r="E41">
        <v>6</v>
      </c>
      <c r="F41">
        <v>1</v>
      </c>
      <c r="G41">
        <v>0</v>
      </c>
      <c r="H41">
        <v>0</v>
      </c>
      <c r="I41">
        <f t="shared" si="0"/>
        <v>63</v>
      </c>
    </row>
    <row r="42" spans="2:9">
      <c r="B42">
        <v>1985</v>
      </c>
      <c r="C42">
        <v>12</v>
      </c>
      <c r="D42">
        <v>2</v>
      </c>
      <c r="E42">
        <v>0</v>
      </c>
      <c r="F42">
        <v>3</v>
      </c>
      <c r="G42">
        <v>3</v>
      </c>
      <c r="H42">
        <v>0</v>
      </c>
      <c r="I42">
        <f t="shared" si="0"/>
        <v>20</v>
      </c>
    </row>
    <row r="43" spans="2:9">
      <c r="B43">
        <v>1986</v>
      </c>
      <c r="C43">
        <v>18</v>
      </c>
      <c r="D43">
        <v>12</v>
      </c>
      <c r="E43">
        <v>1</v>
      </c>
      <c r="F43">
        <v>2</v>
      </c>
      <c r="G43">
        <v>0</v>
      </c>
      <c r="H43">
        <v>0</v>
      </c>
      <c r="I43">
        <f t="shared" si="0"/>
        <v>33</v>
      </c>
    </row>
    <row r="44" spans="2:9">
      <c r="B44">
        <v>1987</v>
      </c>
      <c r="C44">
        <v>10</v>
      </c>
      <c r="D44">
        <v>10</v>
      </c>
      <c r="E44">
        <v>3</v>
      </c>
      <c r="F44">
        <v>0</v>
      </c>
      <c r="G44">
        <v>0</v>
      </c>
      <c r="H44">
        <v>0</v>
      </c>
      <c r="I44">
        <f t="shared" si="0"/>
        <v>23</v>
      </c>
    </row>
    <row r="45" spans="2:9">
      <c r="B45">
        <v>1988</v>
      </c>
      <c r="C45">
        <v>15</v>
      </c>
      <c r="D45">
        <v>6</v>
      </c>
      <c r="E45">
        <v>3</v>
      </c>
      <c r="F45">
        <v>0</v>
      </c>
      <c r="G45">
        <v>0</v>
      </c>
      <c r="H45">
        <v>0</v>
      </c>
      <c r="I45">
        <f t="shared" si="0"/>
        <v>24</v>
      </c>
    </row>
    <row r="46" spans="2:9">
      <c r="B46">
        <v>1989</v>
      </c>
      <c r="C46">
        <v>25</v>
      </c>
      <c r="D46">
        <v>5</v>
      </c>
      <c r="E46">
        <v>0</v>
      </c>
      <c r="F46">
        <v>1</v>
      </c>
      <c r="G46">
        <v>0</v>
      </c>
      <c r="H46">
        <v>0</v>
      </c>
      <c r="I46">
        <f t="shared" si="0"/>
        <v>31</v>
      </c>
    </row>
    <row r="47" spans="2:9">
      <c r="B47">
        <v>1990</v>
      </c>
      <c r="C47">
        <v>52</v>
      </c>
      <c r="D47">
        <v>22</v>
      </c>
      <c r="E47">
        <v>7</v>
      </c>
      <c r="F47">
        <v>5</v>
      </c>
      <c r="G47">
        <v>0</v>
      </c>
      <c r="H47">
        <v>2</v>
      </c>
      <c r="I47">
        <f t="shared" si="0"/>
        <v>88</v>
      </c>
    </row>
    <row r="48" spans="2:9">
      <c r="B48">
        <v>1991</v>
      </c>
      <c r="C48">
        <v>81</v>
      </c>
      <c r="D48">
        <v>17</v>
      </c>
      <c r="E48">
        <v>6</v>
      </c>
      <c r="F48">
        <v>10</v>
      </c>
      <c r="G48">
        <v>2</v>
      </c>
      <c r="H48">
        <v>1</v>
      </c>
      <c r="I48">
        <f t="shared" si="0"/>
        <v>117</v>
      </c>
    </row>
    <row r="49" spans="2:9">
      <c r="B49">
        <v>1992</v>
      </c>
      <c r="C49">
        <v>47</v>
      </c>
      <c r="D49">
        <v>33</v>
      </c>
      <c r="E49">
        <v>8</v>
      </c>
      <c r="F49">
        <v>2</v>
      </c>
      <c r="G49">
        <v>2</v>
      </c>
      <c r="H49">
        <v>0</v>
      </c>
      <c r="I49">
        <f t="shared" si="0"/>
        <v>92</v>
      </c>
    </row>
    <row r="50" spans="2:9">
      <c r="B50">
        <v>1993</v>
      </c>
      <c r="C50">
        <v>65</v>
      </c>
      <c r="D50">
        <v>42</v>
      </c>
      <c r="E50">
        <v>7</v>
      </c>
      <c r="F50">
        <v>1</v>
      </c>
      <c r="G50">
        <v>3</v>
      </c>
      <c r="H50">
        <v>0</v>
      </c>
      <c r="I50">
        <f t="shared" si="0"/>
        <v>118</v>
      </c>
    </row>
    <row r="51" spans="2:9">
      <c r="B51">
        <v>1994</v>
      </c>
      <c r="C51">
        <v>29</v>
      </c>
      <c r="D51">
        <v>6</v>
      </c>
      <c r="E51">
        <v>6</v>
      </c>
      <c r="F51">
        <v>0</v>
      </c>
      <c r="G51">
        <v>0</v>
      </c>
      <c r="H51">
        <v>0</v>
      </c>
      <c r="I51">
        <f t="shared" si="0"/>
        <v>41</v>
      </c>
    </row>
    <row r="52" spans="2:9">
      <c r="B52">
        <v>1995</v>
      </c>
      <c r="C52">
        <v>49</v>
      </c>
      <c r="D52">
        <v>10</v>
      </c>
      <c r="E52">
        <v>8</v>
      </c>
      <c r="F52">
        <v>3</v>
      </c>
      <c r="G52">
        <v>0</v>
      </c>
      <c r="H52">
        <v>0</v>
      </c>
      <c r="I52">
        <f t="shared" si="0"/>
        <v>70</v>
      </c>
    </row>
    <row r="53" spans="2:9">
      <c r="B53">
        <v>1996</v>
      </c>
      <c r="C53">
        <v>50</v>
      </c>
      <c r="D53">
        <v>19</v>
      </c>
      <c r="E53">
        <v>3</v>
      </c>
      <c r="F53">
        <v>1</v>
      </c>
      <c r="G53">
        <v>0</v>
      </c>
      <c r="H53">
        <v>0</v>
      </c>
      <c r="I53">
        <f t="shared" si="0"/>
        <v>73</v>
      </c>
    </row>
    <row r="54" spans="2:9">
      <c r="B54">
        <v>1997</v>
      </c>
      <c r="C54">
        <v>58</v>
      </c>
      <c r="D54">
        <v>6</v>
      </c>
      <c r="E54">
        <v>1</v>
      </c>
      <c r="F54">
        <v>0</v>
      </c>
      <c r="G54">
        <v>0</v>
      </c>
      <c r="H54">
        <v>0</v>
      </c>
      <c r="I54">
        <f t="shared" si="0"/>
        <v>65</v>
      </c>
    </row>
    <row r="55" spans="2:9">
      <c r="B55">
        <v>1998</v>
      </c>
      <c r="C55">
        <v>57</v>
      </c>
      <c r="D55">
        <v>13</v>
      </c>
      <c r="E55">
        <v>1</v>
      </c>
      <c r="F55">
        <v>1</v>
      </c>
      <c r="G55">
        <v>0</v>
      </c>
      <c r="H55">
        <v>0</v>
      </c>
      <c r="I55">
        <f t="shared" si="0"/>
        <v>72</v>
      </c>
    </row>
    <row r="56" spans="2:9">
      <c r="B56">
        <v>1999</v>
      </c>
      <c r="C56">
        <v>43</v>
      </c>
      <c r="D56">
        <v>22</v>
      </c>
      <c r="E56">
        <v>0</v>
      </c>
      <c r="F56">
        <v>2</v>
      </c>
      <c r="G56">
        <v>1</v>
      </c>
      <c r="H56">
        <v>0</v>
      </c>
      <c r="I56">
        <f t="shared" si="0"/>
        <v>68</v>
      </c>
    </row>
  </sheetData>
  <pageMargins left="0.75" right="0.75" top="1" bottom="1" header="0.5" footer="0.5"/>
  <headerFooter alignWithMargins="0"/>
  <ignoredErrors>
    <ignoredError sqref="I7:I56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Documentation</vt:lpstr>
      <vt:lpstr>Report</vt:lpstr>
      <vt:lpstr>Statistics</vt:lpstr>
      <vt:lpstr>Data</vt:lpstr>
      <vt:lpstr>Yearly Chart</vt:lpstr>
      <vt:lpstr>Decades Chart</vt:lpstr>
      <vt:lpstr>Comparison Chart</vt:lpstr>
      <vt:lpstr>AllData</vt:lpstr>
      <vt:lpstr>AllLabel</vt:lpstr>
      <vt:lpstr>F0Data</vt:lpstr>
      <vt:lpstr>F0Label</vt:lpstr>
      <vt:lpstr>F1Data</vt:lpstr>
      <vt:lpstr>F1Label</vt:lpstr>
      <vt:lpstr>F2Data</vt:lpstr>
      <vt:lpstr>F2Label</vt:lpstr>
      <vt:lpstr>F3Data</vt:lpstr>
      <vt:lpstr>F3Label</vt:lpstr>
      <vt:lpstr>F4Data</vt:lpstr>
      <vt:lpstr>F4Label</vt:lpstr>
      <vt:lpstr>F5Data</vt:lpstr>
      <vt:lpstr>F5Label</vt:lpstr>
      <vt:lpstr>Year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Ryan Stearns</cp:lastModifiedBy>
  <dcterms:created xsi:type="dcterms:W3CDTF">2007-04-24T14:22:02Z</dcterms:created>
  <dcterms:modified xsi:type="dcterms:W3CDTF">2010-11-19T15:50:40Z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hange_Type_1" visible="true" label="Change Tornado Type" onAction="Change_Type" imageMso="RecurrenceEdit"/>
        <mso:button idQ="doc:Comparison_Chart_1" visible="true" label="View Comparison Chart" onAction="Comparison_Chart" imageMso="CopyFolder"/>
        <mso:button idQ="doc:Decades_Chart_1" visible="true" label="View Decades Chart" onAction="Decades_Chart" imageMso="Chart3DPieChart"/>
        <mso:button idQ="doc:Report_Sheet_1" visible="true" label="View Report Sheet" onAction="Report_Sheet" imageMso="AutoFormat"/>
        <mso:button idQ="doc:Stat_Sheet_1" visible="true" label="View Stat Sheet" onAction="Stat_Sheet" imageMso="EquationMatrixGallery"/>
        <mso:button idQ="doc:Yearly_Chart_1" visible="true" label="View Yearly Chart" onAction="Yearly_Chart" imageMso="ChangesDiscardAndRefresh"/>
      </mso:documentControls>
    </mso:qat>
  </mso:ribbon>
</mso:customUI>
</file>